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uwildcat-my.sharepoint.com/personal/amf522_ads_northwestern_edu/Documents/Documents 1/"/>
    </mc:Choice>
  </mc:AlternateContent>
  <xr:revisionPtr revIDLastSave="18" documentId="8_{AB1CEFD3-AD5D-4D87-A55F-AE26A205B963}" xr6:coauthVersionLast="47" xr6:coauthVersionMax="47" xr10:uidLastSave="{3E357F68-3798-4194-8F6E-E324628DB7C1}"/>
  <bookViews>
    <workbookView xWindow="-110" yWindow="-110" windowWidth="19420" windowHeight="11500" firstSheet="8" activeTab="17" xr2:uid="{00000000-000D-0000-FFFF-FFFF00000000}"/>
  </bookViews>
  <sheets>
    <sheet name="Kim, Boyoung (Michelle)" sheetId="38" r:id="rId1"/>
    <sheet name="Kothari, Zarin" sheetId="37" r:id="rId2"/>
    <sheet name="Molleti, Sanjana" sheetId="36" r:id="rId3"/>
    <sheet name="Phan, Viana" sheetId="35" r:id="rId4"/>
    <sheet name="Scott, Regina" sheetId="34" r:id="rId5"/>
    <sheet name="Shan, Kevin" sheetId="33" r:id="rId6"/>
    <sheet name="Tah, Giani" sheetId="32" r:id="rId7"/>
    <sheet name="Tsai, Emma" sheetId="31" r:id="rId8"/>
    <sheet name="Yu, Michael " sheetId="30" r:id="rId9"/>
    <sheet name="Zhao, Allison" sheetId="29" r:id="rId10"/>
    <sheet name="Ma, Symon" sheetId="28" r:id="rId11"/>
    <sheet name="Garcia, Mauricio" sheetId="27" r:id="rId12"/>
    <sheet name="Wagner, Sarah" sheetId="26" r:id="rId13"/>
    <sheet name="Garcia, Joshua" sheetId="25" r:id="rId14"/>
    <sheet name="Memon, Rohail" sheetId="24" r:id="rId15"/>
    <sheet name="Most, Jesse" sheetId="23" r:id="rId16"/>
    <sheet name="Tran, Melanie" sheetId="22" r:id="rId17"/>
    <sheet name="Liang, Alvin" sheetId="1" r:id="rId18"/>
  </sheets>
  <definedNames>
    <definedName name="_xlnm.Print_Area" localSheetId="13">'Garcia, Joshua'!$A$1:$J$19</definedName>
    <definedName name="_xlnm.Print_Area" localSheetId="11">'Garcia, Mauricio'!$A$1:$J$19</definedName>
    <definedName name="_xlnm.Print_Area" localSheetId="0">'Kim, Boyoung (Michelle)'!$A$1:$J$19</definedName>
    <definedName name="_xlnm.Print_Area" localSheetId="1">'Kothari, Zarin'!$A$1:$J$19</definedName>
    <definedName name="_xlnm.Print_Area" localSheetId="17">'Liang, Alvin'!$A$1:$J$19</definedName>
    <definedName name="_xlnm.Print_Area" localSheetId="10">'Ma, Symon'!$A$1:$J$19</definedName>
    <definedName name="_xlnm.Print_Area" localSheetId="14">'Memon, Rohail'!$A$1:$J$19</definedName>
    <definedName name="_xlnm.Print_Area" localSheetId="2">'Molleti, Sanjana'!$A$1:$J$19</definedName>
    <definedName name="_xlnm.Print_Area" localSheetId="15">'Most, Jesse'!$A$1:$J$19</definedName>
    <definedName name="_xlnm.Print_Area" localSheetId="3">'Phan, Viana'!$A$1:$J$19</definedName>
    <definedName name="_xlnm.Print_Area" localSheetId="4">'Scott, Regina'!$A$1:$J$19</definedName>
    <definedName name="_xlnm.Print_Area" localSheetId="5">'Shan, Kevin'!$A$1:$J$19</definedName>
    <definedName name="_xlnm.Print_Area" localSheetId="6">'Tah, Giani'!$A$1:$J$19</definedName>
    <definedName name="_xlnm.Print_Area" localSheetId="16">'Tran, Melanie'!$A$1:$J$19</definedName>
    <definedName name="_xlnm.Print_Area" localSheetId="7">'Tsai, Emma'!$A$1:$J$19</definedName>
    <definedName name="_xlnm.Print_Area" localSheetId="12">'Wagner, Sarah'!$A$1:$J$19</definedName>
    <definedName name="_xlnm.Print_Area" localSheetId="8">'Yu, Michael '!$A$1:$J$19</definedName>
    <definedName name="_xlnm.Print_Area" localSheetId="9">'Zhao, Allison'!$A$1:$J$19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" i="38" l="1"/>
  <c r="R8" i="38"/>
  <c r="Q8" i="38"/>
  <c r="P8" i="38"/>
  <c r="O8" i="38"/>
  <c r="N8" i="38"/>
  <c r="M8" i="38"/>
  <c r="L8" i="38"/>
  <c r="K8" i="38"/>
  <c r="J8" i="38"/>
  <c r="I8" i="38"/>
  <c r="H8" i="38"/>
  <c r="G8" i="38"/>
  <c r="F3" i="38"/>
  <c r="F2" i="38"/>
  <c r="D2" i="38"/>
  <c r="F8" i="38" s="1"/>
  <c r="F1" i="38"/>
  <c r="S8" i="37"/>
  <c r="R8" i="37"/>
  <c r="Q8" i="37"/>
  <c r="P8" i="37"/>
  <c r="O8" i="37"/>
  <c r="N8" i="37"/>
  <c r="M8" i="37"/>
  <c r="L8" i="37"/>
  <c r="K8" i="37"/>
  <c r="J8" i="37"/>
  <c r="I8" i="37"/>
  <c r="H8" i="37"/>
  <c r="G8" i="37"/>
  <c r="F3" i="37"/>
  <c r="F2" i="37"/>
  <c r="D2" i="37"/>
  <c r="F8" i="37" s="1"/>
  <c r="F1" i="37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3" i="36"/>
  <c r="F2" i="36"/>
  <c r="D2" i="36"/>
  <c r="F8" i="36" s="1"/>
  <c r="F1" i="36"/>
  <c r="S8" i="35"/>
  <c r="R8" i="35"/>
  <c r="Q8" i="35"/>
  <c r="P8" i="35"/>
  <c r="O8" i="35"/>
  <c r="N8" i="35"/>
  <c r="M8" i="35"/>
  <c r="L8" i="35"/>
  <c r="K8" i="35"/>
  <c r="J8" i="35"/>
  <c r="I8" i="35"/>
  <c r="H8" i="35"/>
  <c r="G8" i="35"/>
  <c r="F3" i="35"/>
  <c r="F2" i="35"/>
  <c r="D2" i="35"/>
  <c r="F8" i="35" s="1"/>
  <c r="F1" i="35"/>
  <c r="S8" i="34"/>
  <c r="R8" i="34"/>
  <c r="Q8" i="34"/>
  <c r="P8" i="34"/>
  <c r="O8" i="34"/>
  <c r="N8" i="34"/>
  <c r="M8" i="34"/>
  <c r="L8" i="34"/>
  <c r="K8" i="34"/>
  <c r="J8" i="34"/>
  <c r="I8" i="34"/>
  <c r="H8" i="34"/>
  <c r="G8" i="34"/>
  <c r="F3" i="34"/>
  <c r="F2" i="34"/>
  <c r="D2" i="34"/>
  <c r="F8" i="34" s="1"/>
  <c r="F1" i="34"/>
  <c r="S8" i="33"/>
  <c r="R8" i="33"/>
  <c r="Q8" i="33"/>
  <c r="P8" i="33"/>
  <c r="O8" i="33"/>
  <c r="N8" i="33"/>
  <c r="M8" i="33"/>
  <c r="L8" i="33"/>
  <c r="K8" i="33"/>
  <c r="J8" i="33"/>
  <c r="I8" i="33"/>
  <c r="H8" i="33"/>
  <c r="G8" i="33"/>
  <c r="F3" i="33"/>
  <c r="F2" i="33"/>
  <c r="D2" i="33"/>
  <c r="F8" i="33" s="1"/>
  <c r="F1" i="33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3" i="32"/>
  <c r="F2" i="32"/>
  <c r="D2" i="32"/>
  <c r="F8" i="32" s="1"/>
  <c r="F1" i="32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3" i="31"/>
  <c r="F2" i="31"/>
  <c r="D2" i="31"/>
  <c r="F8" i="31" s="1"/>
  <c r="F1" i="31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3" i="30"/>
  <c r="F2" i="30"/>
  <c r="D2" i="30"/>
  <c r="F8" i="30" s="1"/>
  <c r="F1" i="30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3" i="29"/>
  <c r="F2" i="29"/>
  <c r="D2" i="29"/>
  <c r="F8" i="29" s="1"/>
  <c r="F1" i="29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3" i="28"/>
  <c r="F2" i="28"/>
  <c r="D2" i="28"/>
  <c r="F8" i="28" s="1"/>
  <c r="F1" i="28"/>
  <c r="S8" i="27"/>
  <c r="R8" i="27"/>
  <c r="Q8" i="27"/>
  <c r="P8" i="27"/>
  <c r="O8" i="27"/>
  <c r="N8" i="27"/>
  <c r="M8" i="27"/>
  <c r="L8" i="27"/>
  <c r="K8" i="27"/>
  <c r="J8" i="27"/>
  <c r="I8" i="27"/>
  <c r="H8" i="27"/>
  <c r="G8" i="27"/>
  <c r="F3" i="27"/>
  <c r="F2" i="27"/>
  <c r="D2" i="27"/>
  <c r="F8" i="27" s="1"/>
  <c r="F1" i="27"/>
  <c r="S8" i="26"/>
  <c r="R8" i="26"/>
  <c r="Q8" i="26"/>
  <c r="P8" i="26"/>
  <c r="O8" i="26"/>
  <c r="N8" i="26"/>
  <c r="M8" i="26"/>
  <c r="L8" i="26"/>
  <c r="K8" i="26"/>
  <c r="J8" i="26"/>
  <c r="I8" i="26"/>
  <c r="H8" i="26"/>
  <c r="G8" i="26"/>
  <c r="F3" i="26"/>
  <c r="F2" i="26"/>
  <c r="D2" i="26"/>
  <c r="F8" i="26" s="1"/>
  <c r="F1" i="26"/>
  <c r="S8" i="25"/>
  <c r="R8" i="25"/>
  <c r="Q8" i="25"/>
  <c r="P8" i="25"/>
  <c r="O8" i="25"/>
  <c r="N8" i="25"/>
  <c r="M8" i="25"/>
  <c r="L8" i="25"/>
  <c r="K8" i="25"/>
  <c r="J8" i="25"/>
  <c r="I8" i="25"/>
  <c r="H8" i="25"/>
  <c r="G8" i="25"/>
  <c r="F3" i="25"/>
  <c r="F2" i="25"/>
  <c r="D2" i="25"/>
  <c r="F8" i="25" s="1"/>
  <c r="F1" i="25"/>
  <c r="S8" i="24"/>
  <c r="R8" i="24"/>
  <c r="Q8" i="24"/>
  <c r="P8" i="24"/>
  <c r="O8" i="24"/>
  <c r="N8" i="24"/>
  <c r="M8" i="24"/>
  <c r="L8" i="24"/>
  <c r="K8" i="24"/>
  <c r="J8" i="24"/>
  <c r="I8" i="24"/>
  <c r="H8" i="24"/>
  <c r="G8" i="24"/>
  <c r="F3" i="24"/>
  <c r="F2" i="24"/>
  <c r="D2" i="24"/>
  <c r="F8" i="24" s="1"/>
  <c r="F1" i="24"/>
  <c r="S8" i="23"/>
  <c r="R8" i="23"/>
  <c r="Q8" i="23"/>
  <c r="P8" i="23"/>
  <c r="O8" i="23"/>
  <c r="N8" i="23"/>
  <c r="M8" i="23"/>
  <c r="L8" i="23"/>
  <c r="K8" i="23"/>
  <c r="J8" i="23"/>
  <c r="I8" i="23"/>
  <c r="H8" i="23"/>
  <c r="G8" i="23"/>
  <c r="F3" i="23"/>
  <c r="F2" i="23"/>
  <c r="D2" i="23"/>
  <c r="F8" i="23" s="1"/>
  <c r="F1" i="23"/>
  <c r="S8" i="22"/>
  <c r="R8" i="22"/>
  <c r="Q8" i="22"/>
  <c r="P8" i="22"/>
  <c r="O8" i="22"/>
  <c r="N8" i="22"/>
  <c r="M8" i="22"/>
  <c r="L8" i="22"/>
  <c r="K8" i="22"/>
  <c r="J8" i="22"/>
  <c r="I8" i="22"/>
  <c r="H8" i="22"/>
  <c r="G8" i="22"/>
  <c r="F3" i="22"/>
  <c r="F2" i="22"/>
  <c r="D2" i="22"/>
  <c r="F8" i="22" s="1"/>
  <c r="F1" i="22"/>
  <c r="D2" i="1"/>
  <c r="F3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 l="1"/>
  <c r="F2" i="1" l="1"/>
  <c r="F1" i="1"/>
</calcChain>
</file>

<file path=xl/sharedStrings.xml><?xml version="1.0" encoding="utf-8"?>
<sst xmlns="http://schemas.openxmlformats.org/spreadsheetml/2006/main" count="1233" uniqueCount="94">
  <si>
    <t>2025 NU Ophthalmology Applicant Screening Worksheet.</t>
  </si>
  <si>
    <t>Scientific Pursuits</t>
  </si>
  <si>
    <t>Applicant's Name:</t>
  </si>
  <si>
    <t>Boyoung (Michelle) Kim</t>
  </si>
  <si>
    <t>Professional
Leadership</t>
  </si>
  <si>
    <t>Reviewer's Name:</t>
  </si>
  <si>
    <t>Kurup</t>
  </si>
  <si>
    <t>Social Leadership
&amp; Service</t>
  </si>
  <si>
    <t>Attributes</t>
  </si>
  <si>
    <t>Attribute Categories</t>
  </si>
  <si>
    <t>Value</t>
  </si>
  <si>
    <t>Score</t>
  </si>
  <si>
    <r>
      <rPr>
        <sz val="18"/>
        <color theme="1"/>
        <rFont val="Calibri (Body)_x0000_"/>
      </rPr>
      <t>Scientific Pursuits</t>
    </r>
    <r>
      <rPr>
        <sz val="16"/>
        <color theme="1"/>
        <rFont val="Calibri"/>
        <family val="2"/>
        <scheme val="minor"/>
      </rPr>
      <t xml:space="preserve"> - </t>
    </r>
    <r>
      <rPr>
        <i/>
        <sz val="16"/>
        <color theme="1"/>
        <rFont val="Calibri"/>
        <family val="2"/>
        <scheme val="minor"/>
      </rPr>
      <t>Education</t>
    </r>
    <r>
      <rPr>
        <sz val="16"/>
        <color theme="1"/>
        <rFont val="Calibri"/>
        <family val="2"/>
        <scheme val="minor"/>
      </rPr>
      <t>/Experience</t>
    </r>
  </si>
  <si>
    <r>
      <t xml:space="preserve">◦ MD/PhD
◦ 2-3 year research experience
</t>
    </r>
    <r>
      <rPr>
        <sz val="14"/>
        <color rgb="FF0070C0"/>
        <rFont val="Calibri (Body)"/>
      </rPr>
      <t>◦ 1-year research experience</t>
    </r>
    <r>
      <rPr>
        <sz val="14"/>
        <color theme="1"/>
        <rFont val="Calibri"/>
        <family val="2"/>
        <scheme val="minor"/>
      </rPr>
      <t xml:space="preserve">
◦ Less then 1 year experience</t>
    </r>
  </si>
  <si>
    <r>
      <t xml:space="preserve">4
2
</t>
    </r>
    <r>
      <rPr>
        <sz val="14"/>
        <color rgb="FF0070C0"/>
        <rFont val="Calibri (Body)"/>
      </rPr>
      <t>1</t>
    </r>
    <r>
      <rPr>
        <sz val="14"/>
        <color theme="1"/>
        <rFont val="Calibri"/>
        <family val="2"/>
        <scheme val="minor"/>
      </rPr>
      <t xml:space="preserve">
0</t>
    </r>
  </si>
  <si>
    <r>
      <rPr>
        <sz val="18"/>
        <color theme="1"/>
        <rFont val="Calibri (Body)_x0000_"/>
      </rPr>
      <t xml:space="preserve">Scientific Pursuits </t>
    </r>
    <r>
      <rPr>
        <sz val="16"/>
        <color theme="1"/>
        <rFont val="Calibri"/>
        <family val="2"/>
        <scheme val="minor"/>
      </rPr>
      <t xml:space="preserve">-
</t>
    </r>
    <r>
      <rPr>
        <i/>
        <sz val="16"/>
        <color theme="1"/>
        <rFont val="Calibri"/>
        <family val="2"/>
        <scheme val="minor"/>
      </rPr>
      <t>Output</t>
    </r>
  </si>
  <si>
    <r>
      <t xml:space="preserve">◦ 5 or more lead author publications in peer-reviewed journals, </t>
    </r>
    <r>
      <rPr>
        <i/>
        <sz val="14"/>
        <color theme="1"/>
        <rFont val="Calibri"/>
        <family val="2"/>
        <scheme val="minor"/>
      </rPr>
      <t>major or well-recognized journal</t>
    </r>
    <r>
      <rPr>
        <sz val="14"/>
        <color theme="1"/>
        <rFont val="Calibri"/>
        <family val="2"/>
        <scheme val="minor"/>
      </rPr>
      <t xml:space="preserve"> publications
◦ 3-4 lead author publications in peer-reviewed journals
</t>
    </r>
    <r>
      <rPr>
        <sz val="14"/>
        <color rgb="FF0070C0"/>
        <rFont val="Calibri (Body)_x0000_"/>
      </rPr>
      <t xml:space="preserve">◦ 1-2 lead author publications in peer-reviewed journals
</t>
    </r>
    <r>
      <rPr>
        <sz val="14"/>
        <color theme="1"/>
        <rFont val="Calibri (Body)_x0000_"/>
      </rPr>
      <t>◦ Oral presentation at a national/international conference (ARVO, etc) or non-first author publication in peer-reviewed journal</t>
    </r>
    <r>
      <rPr>
        <sz val="14"/>
        <color rgb="FF0070C0"/>
        <rFont val="Calibri (Body)_x0000_"/>
      </rPr>
      <t xml:space="preserve">
</t>
    </r>
    <r>
      <rPr>
        <sz val="14"/>
        <color theme="1"/>
        <rFont val="Calibri"/>
        <family val="2"/>
        <scheme val="minor"/>
      </rPr>
      <t>◦ National conference (ie ARVO, etc) poster presentation</t>
    </r>
  </si>
  <si>
    <r>
      <t>4
3</t>
    </r>
    <r>
      <rPr>
        <sz val="14"/>
        <color rgb="FF0070C0"/>
        <rFont val="Calibri (Body)_x0000_"/>
      </rPr>
      <t xml:space="preserve">
2</t>
    </r>
    <r>
      <rPr>
        <sz val="14"/>
        <color rgb="FF0070C0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1
0.5</t>
    </r>
  </si>
  <si>
    <r>
      <rPr>
        <sz val="18"/>
        <color theme="1"/>
        <rFont val="Calibri (Body)_x0000_"/>
      </rPr>
      <t>Professional Leadership</t>
    </r>
    <r>
      <rPr>
        <sz val="16"/>
        <color theme="1"/>
        <rFont val="Calibri"/>
        <family val="2"/>
        <scheme val="minor"/>
      </rPr>
      <t xml:space="preserve"> &amp; enterpreneurial pursuits in healthcare, public health, tech, efficiency, quality &amp; safety -
</t>
    </r>
    <r>
      <rPr>
        <i/>
        <sz val="16"/>
        <color theme="1"/>
        <rFont val="Calibri"/>
        <family val="2"/>
        <scheme val="minor"/>
      </rPr>
      <t>Education</t>
    </r>
  </si>
  <si>
    <t>◦ MBA, MPH, Masters in Quality &amp; Safety, etc
◦ No formal leadership education</t>
  </si>
  <si>
    <t>2
0</t>
  </si>
  <si>
    <t>TOTAL</t>
  </si>
  <si>
    <t>SPE</t>
  </si>
  <si>
    <t>SPO</t>
  </si>
  <si>
    <t>PLE</t>
  </si>
  <si>
    <t>PLO</t>
  </si>
  <si>
    <t>SL</t>
  </si>
  <si>
    <t>DT</t>
  </si>
  <si>
    <t>ELW</t>
  </si>
  <si>
    <t>MSQ</t>
  </si>
  <si>
    <t>MSP</t>
  </si>
  <si>
    <t>UQ</t>
  </si>
  <si>
    <t>UP</t>
  </si>
  <si>
    <t>USMLE</t>
  </si>
  <si>
    <t>RR</t>
  </si>
  <si>
    <r>
      <rPr>
        <sz val="18"/>
        <color theme="1"/>
        <rFont val="Calibri (Body)_x0000_"/>
      </rPr>
      <t>Professional Leadership &amp; enterpreneurial pursuits in healthcare, public health, tech, efficiency, quality &amp; safety -</t>
    </r>
    <r>
      <rPr>
        <sz val="16"/>
        <color theme="1"/>
        <rFont val="Calibri"/>
        <family val="2"/>
        <scheme val="minor"/>
      </rPr>
      <t xml:space="preserve">
</t>
    </r>
    <r>
      <rPr>
        <i/>
        <sz val="16"/>
        <color theme="1"/>
        <rFont val="Calibri"/>
        <family val="2"/>
        <scheme val="minor"/>
      </rPr>
      <t>Output</t>
    </r>
  </si>
  <si>
    <r>
      <t xml:space="preserve">◦ </t>
    </r>
    <r>
      <rPr>
        <i/>
        <sz val="14"/>
        <color theme="1"/>
        <rFont val="Calibri"/>
        <family val="2"/>
        <scheme val="minor"/>
      </rPr>
      <t>Founded/led</t>
    </r>
    <r>
      <rPr>
        <sz val="14"/>
        <color theme="1"/>
        <rFont val="Calibri"/>
        <family val="2"/>
        <scheme val="minor"/>
      </rPr>
      <t xml:space="preserve"> a successful business or served as company/department director and explained how this pertains to their development
◦ </t>
    </r>
    <r>
      <rPr>
        <i/>
        <sz val="14"/>
        <color theme="1"/>
        <rFont val="Calibri"/>
        <family val="2"/>
        <scheme val="minor"/>
      </rPr>
      <t xml:space="preserve">Implemented and directed </t>
    </r>
    <r>
      <rPr>
        <sz val="14"/>
        <color theme="1"/>
        <rFont val="Calibri"/>
        <family val="2"/>
        <scheme val="minor"/>
      </rPr>
      <t xml:space="preserve">a high-impact public health/QI program/initiative and explained how this pertains to their development
</t>
    </r>
    <r>
      <rPr>
        <sz val="14"/>
        <color rgb="FF0070C0"/>
        <rFont val="Calibri (Body)"/>
      </rPr>
      <t>◦ Implemented a minor/low impact app/program/algorithm for healthcare, public health, tech, efficiency, quality &amp; safety</t>
    </r>
    <r>
      <rPr>
        <sz val="14"/>
        <color theme="1"/>
        <rFont val="Calibri"/>
        <family val="2"/>
        <scheme val="minor"/>
      </rPr>
      <t xml:space="preserve">
◦ Had no clear output in this category</t>
    </r>
  </si>
  <si>
    <r>
      <t xml:space="preserve">4
4
</t>
    </r>
    <r>
      <rPr>
        <sz val="14"/>
        <color rgb="FF0070C0"/>
        <rFont val="Calibri (Body)"/>
      </rPr>
      <t>2</t>
    </r>
    <r>
      <rPr>
        <sz val="14"/>
        <color theme="1"/>
        <rFont val="Calibri"/>
        <family val="2"/>
        <scheme val="minor"/>
      </rPr>
      <t xml:space="preserve">
0</t>
    </r>
  </si>
  <si>
    <r>
      <rPr>
        <sz val="18"/>
        <color theme="1"/>
        <rFont val="Calibri (Body)_x0000_"/>
      </rPr>
      <t>Social Leadership</t>
    </r>
    <r>
      <rPr>
        <sz val="16"/>
        <color theme="1"/>
        <rFont val="Calibri"/>
        <family val="2"/>
        <scheme val="minor"/>
      </rPr>
      <t xml:space="preserve"> &amp; Service
</t>
    </r>
  </si>
  <si>
    <r>
      <rPr>
        <i/>
        <sz val="14"/>
        <color theme="1"/>
        <rFont val="Calibri"/>
        <family val="2"/>
        <scheme val="minor"/>
      </rPr>
      <t>◦ Major accomplishments:</t>
    </r>
    <r>
      <rPr>
        <sz val="14"/>
        <color theme="1"/>
        <rFont val="Calibri"/>
        <family val="2"/>
        <scheme val="minor"/>
      </rPr>
      <t xml:space="preserve"> Founded or elected to &amp; served in </t>
    </r>
    <r>
      <rPr>
        <i/>
        <sz val="14"/>
        <color theme="1"/>
        <rFont val="Calibri"/>
        <family val="2"/>
        <scheme val="minor"/>
      </rPr>
      <t>major post</t>
    </r>
    <r>
      <rPr>
        <sz val="14"/>
        <color theme="1"/>
        <rFont val="Calibri"/>
        <family val="2"/>
        <scheme val="minor"/>
      </rPr>
      <t xml:space="preserve"> in </t>
    </r>
    <r>
      <rPr>
        <i/>
        <sz val="14"/>
        <color theme="1"/>
        <rFont val="Calibri"/>
        <family val="2"/>
        <scheme val="minor"/>
      </rPr>
      <t>national</t>
    </r>
    <r>
      <rPr>
        <sz val="14"/>
        <color theme="1"/>
        <rFont val="Calibri"/>
        <family val="2"/>
        <scheme val="minor"/>
      </rPr>
      <t xml:space="preserve"> organization, president of medical school class, etc. </t>
    </r>
    <r>
      <rPr>
        <i/>
        <sz val="14"/>
        <color theme="1"/>
        <rFont val="Calibri"/>
        <family val="2"/>
        <scheme val="minor"/>
      </rPr>
      <t xml:space="preserve">and </t>
    </r>
    <r>
      <rPr>
        <i/>
        <sz val="14"/>
        <color rgb="FF7030A0"/>
        <rFont val="Calibri (Body)"/>
      </rPr>
      <t>makes effort to explain how this pertains to their development as a leader</t>
    </r>
    <r>
      <rPr>
        <sz val="14"/>
        <color theme="1"/>
        <rFont val="Calibri"/>
        <family val="2"/>
        <scheme val="minor"/>
      </rPr>
      <t xml:space="preserve">
</t>
    </r>
    <r>
      <rPr>
        <i/>
        <sz val="14"/>
        <color rgb="FF0070C0"/>
        <rFont val="Calibri (Body)"/>
      </rPr>
      <t xml:space="preserve">◦ Moderate accomplishments: </t>
    </r>
    <r>
      <rPr>
        <sz val="14"/>
        <color rgb="FF0070C0"/>
        <rFont val="Calibri (Body)"/>
      </rPr>
      <t>Founded, elected to &amp; served in</t>
    </r>
    <r>
      <rPr>
        <i/>
        <sz val="14"/>
        <color rgb="FF0070C0"/>
        <rFont val="Calibri (Body)"/>
      </rPr>
      <t xml:space="preserve"> top post of </t>
    </r>
    <r>
      <rPr>
        <sz val="14"/>
        <color rgb="FF0070C0"/>
        <rFont val="Calibri (Body)"/>
      </rPr>
      <t xml:space="preserve">of </t>
    </r>
    <r>
      <rPr>
        <i/>
        <sz val="14"/>
        <color rgb="FF0070C0"/>
        <rFont val="Calibri (Body)"/>
      </rPr>
      <t xml:space="preserve">local </t>
    </r>
    <r>
      <rPr>
        <sz val="14"/>
        <color rgb="FF0070C0"/>
        <rFont val="Calibri (Body)"/>
      </rPr>
      <t xml:space="preserve">chapter of national organization, </t>
    </r>
    <r>
      <rPr>
        <i/>
        <sz val="14"/>
        <color rgb="FF0070C0"/>
        <rFont val="Calibri (Body)"/>
      </rPr>
      <t>local</t>
    </r>
    <r>
      <rPr>
        <sz val="14"/>
        <color rgb="FF0070C0"/>
        <rFont val="Calibri (Body)"/>
      </rPr>
      <t xml:space="preserve"> committee or interest group</t>
    </r>
    <r>
      <rPr>
        <sz val="14"/>
        <color theme="1"/>
        <rFont val="Calibri"/>
        <family val="2"/>
        <scheme val="minor"/>
      </rPr>
      <t xml:space="preserve">
◦ Minor elected position (VP, Treasurer, etc) or volunteer, tutor, mentor, Big Sib, admissions committee member, etc
◦ No leadership</t>
    </r>
  </si>
  <si>
    <r>
      <t xml:space="preserve">
4
</t>
    </r>
    <r>
      <rPr>
        <sz val="14"/>
        <color rgb="FF0070C0"/>
        <rFont val="Calibri (Body)"/>
      </rPr>
      <t>2</t>
    </r>
    <r>
      <rPr>
        <sz val="14"/>
        <color rgb="FF00B0F0"/>
        <rFont val="Calibri (Body)"/>
      </rPr>
      <t xml:space="preserve">
</t>
    </r>
    <r>
      <rPr>
        <sz val="14"/>
        <color theme="1"/>
        <rFont val="Calibri"/>
        <family val="2"/>
        <scheme val="minor"/>
      </rPr>
      <t xml:space="preserve">
0.5
0</t>
    </r>
  </si>
  <si>
    <t>Resiliance, "Grit", 
"Distance Travelled"</t>
  </si>
  <si>
    <r>
      <rPr>
        <b/>
        <sz val="14"/>
        <color rgb="FFFFFF00"/>
        <rFont val="Calibri (Body)"/>
      </rPr>
      <t xml:space="preserve">Reviewer: assign points </t>
    </r>
    <r>
      <rPr>
        <b/>
        <i/>
        <sz val="14"/>
        <color rgb="FFFFFF00"/>
        <rFont val="Calibri (Body)"/>
      </rPr>
      <t>only</t>
    </r>
    <r>
      <rPr>
        <b/>
        <sz val="14"/>
        <color rgb="FFFFFF00"/>
        <rFont val="Calibri (Body)"/>
      </rPr>
      <t xml:space="preserve"> if the candidate makes </t>
    </r>
    <r>
      <rPr>
        <b/>
        <i/>
        <sz val="14"/>
        <color rgb="FFFFFF00"/>
        <rFont val="Calibri (Body)"/>
      </rPr>
      <t xml:space="preserve">meaningful &amp; convincing arguement in the essays </t>
    </r>
    <r>
      <rPr>
        <b/>
        <sz val="14"/>
        <color rgb="FFFFFF00"/>
        <rFont val="Calibri (Body)"/>
      </rPr>
      <t xml:space="preserve">to address how overcoming a specific challenge shaped their growth and strengthened their character. Don't make assumptions. </t>
    </r>
    <r>
      <rPr>
        <sz val="14"/>
        <color theme="0"/>
        <rFont val="Calibri"/>
        <family val="2"/>
        <scheme val="minor"/>
      </rPr>
      <t xml:space="preserve">
◦ Applicant clearly overcame a </t>
    </r>
    <r>
      <rPr>
        <b/>
        <sz val="14"/>
        <color theme="0"/>
        <rFont val="Calibri"/>
        <family val="2"/>
        <scheme val="minor"/>
      </rPr>
      <t>major</t>
    </r>
    <r>
      <rPr>
        <sz val="14"/>
        <color theme="0"/>
        <rFont val="Calibri"/>
        <family val="2"/>
        <scheme val="minor"/>
      </rPr>
      <t xml:space="preserve"> challenge not experienced by most &amp; explained how this experience shaped their personal/professional growth;
</t>
    </r>
    <r>
      <rPr>
        <i/>
        <sz val="14"/>
        <color theme="0"/>
        <rFont val="Calibri"/>
        <family val="2"/>
        <scheme val="minor"/>
      </rPr>
      <t xml:space="preserve">getting to this point represents a noteworthy accomplishment in and of itself.
</t>
    </r>
    <r>
      <rPr>
        <sz val="14"/>
        <color rgb="FF00B0F0"/>
        <rFont val="Calibri (Body)"/>
      </rPr>
      <t xml:space="preserve">◦ Applicant clearly overcame a significant, but </t>
    </r>
    <r>
      <rPr>
        <b/>
        <sz val="14"/>
        <color rgb="FF00B0F0"/>
        <rFont val="Calibri (Body)"/>
      </rPr>
      <t>minor</t>
    </r>
    <r>
      <rPr>
        <sz val="14"/>
        <color rgb="FF00B0F0"/>
        <rFont val="Calibri (Body)"/>
      </rPr>
      <t xml:space="preserve"> challenge (in the big scheme of things) &amp; explained how this experience shaped their personal/professional growth</t>
    </r>
    <r>
      <rPr>
        <sz val="14"/>
        <color theme="0"/>
        <rFont val="Calibri"/>
        <family val="2"/>
        <scheme val="minor"/>
      </rPr>
      <t xml:space="preserve">
◦ These issues not discussed or convincing arguement not made by candidate</t>
    </r>
  </si>
  <si>
    <r>
      <t xml:space="preserve">
3-4
</t>
    </r>
    <r>
      <rPr>
        <sz val="14"/>
        <color rgb="FF00B0F0"/>
        <rFont val="Calibri (Body)"/>
      </rPr>
      <t xml:space="preserve">
1-2</t>
    </r>
    <r>
      <rPr>
        <sz val="14"/>
        <color theme="0"/>
        <rFont val="Calibri"/>
        <family val="2"/>
        <scheme val="minor"/>
      </rPr>
      <t xml:space="preserve">
0</t>
    </r>
  </si>
  <si>
    <t>Endorcement by letter writers</t>
  </si>
  <si>
    <r>
      <t xml:space="preserve">Unequivocally-outstanding endorsement by </t>
    </r>
    <r>
      <rPr>
        <i/>
        <sz val="14"/>
        <color theme="1"/>
        <rFont val="Calibri"/>
        <family val="2"/>
        <scheme val="minor"/>
      </rPr>
      <t>multiple</t>
    </r>
    <r>
      <rPr>
        <sz val="14"/>
        <color theme="1"/>
        <rFont val="Calibri"/>
        <family val="2"/>
        <scheme val="minor"/>
      </rPr>
      <t xml:space="preserve"> letters of recommendation
Unequivocally-outstanding endorsement by </t>
    </r>
    <r>
      <rPr>
        <i/>
        <sz val="14"/>
        <color theme="1"/>
        <rFont val="Calibri"/>
        <family val="2"/>
        <scheme val="minor"/>
      </rPr>
      <t>one</t>
    </r>
    <r>
      <rPr>
        <sz val="14"/>
        <color theme="1"/>
        <rFont val="Calibri"/>
        <family val="2"/>
        <scheme val="minor"/>
      </rPr>
      <t xml:space="preserve"> letter of recommendation
</t>
    </r>
    <r>
      <rPr>
        <sz val="14"/>
        <color rgb="FF0070C0"/>
        <rFont val="Calibri (Body)_x0000_"/>
      </rPr>
      <t xml:space="preserve">Very strong (but not exceptional) endorsement by </t>
    </r>
    <r>
      <rPr>
        <i/>
        <sz val="14"/>
        <color rgb="FF0070C0"/>
        <rFont val="Calibri (Body)_x0000_"/>
      </rPr>
      <t>multiple</t>
    </r>
    <r>
      <rPr>
        <sz val="14"/>
        <color rgb="FF0070C0"/>
        <rFont val="Calibri (Body)_x0000_"/>
      </rPr>
      <t xml:space="preserve"> letters</t>
    </r>
    <r>
      <rPr>
        <sz val="14"/>
        <color theme="1"/>
        <rFont val="Calibri"/>
        <family val="2"/>
        <scheme val="minor"/>
      </rPr>
      <t xml:space="preserve">
Very strong (but not exceptional) endorsement by </t>
    </r>
    <r>
      <rPr>
        <i/>
        <sz val="14"/>
        <color theme="1"/>
        <rFont val="Calibri"/>
        <family val="2"/>
        <scheme val="minor"/>
      </rPr>
      <t>one</t>
    </r>
    <r>
      <rPr>
        <sz val="14"/>
        <color theme="1"/>
        <rFont val="Calibri"/>
        <family val="2"/>
        <scheme val="minor"/>
      </rPr>
      <t xml:space="preserve"> letter of recommendation
Luke-warm recommendation</t>
    </r>
  </si>
  <si>
    <r>
      <t xml:space="preserve">4
3
</t>
    </r>
    <r>
      <rPr>
        <sz val="14"/>
        <color rgb="FF0070C0"/>
        <rFont val="Calibri (Body)_x0000_"/>
      </rPr>
      <t>2</t>
    </r>
    <r>
      <rPr>
        <sz val="14"/>
        <color theme="1"/>
        <rFont val="Calibri"/>
        <family val="2"/>
        <scheme val="minor"/>
      </rPr>
      <t xml:space="preserve">
1
0</t>
    </r>
  </si>
  <si>
    <t>Reviewer's Recommendation</t>
  </si>
  <si>
    <t>Definitely interview - I would love to train this candidate
Consider interviewing - this candidate would likely do well
Pass on interviewing - not a good fit</t>
  </si>
  <si>
    <t>A
B
C</t>
  </si>
  <si>
    <t>B</t>
  </si>
  <si>
    <t xml:space="preserve">Reviewer's comments:
</t>
  </si>
  <si>
    <t>Medical School Quality</t>
  </si>
  <si>
    <t>Top 25
Otherwise</t>
  </si>
  <si>
    <t>4
0</t>
  </si>
  <si>
    <t>Medical School Performance</t>
  </si>
  <si>
    <r>
      <t xml:space="preserve">≥3 "Honors"  in 3rd &amp; 4th years of med school in med, surg, peds, OB/GYN or neuro
1-2 "Honors" in 3rd &amp; 4th years of med school in med, surg, peds, OB/GYN or neuro
</t>
    </r>
    <r>
      <rPr>
        <sz val="14"/>
        <color theme="4"/>
        <rFont val="Calibri (Body)_x0000_"/>
      </rPr>
      <t>No honors, but at least 1 "High Pass" in med, surg, peds, OB/GYN or neuro</t>
    </r>
    <r>
      <rPr>
        <sz val="14"/>
        <color theme="1"/>
        <rFont val="Calibri"/>
        <family val="2"/>
        <scheme val="minor"/>
      </rPr>
      <t xml:space="preserve">
Passed all core rotations, but without "honors" or "high pass"
Struggled to pass core rotations
*** If med school is P/F only and does not give "Honors" grades give 2.25 points***</t>
    </r>
  </si>
  <si>
    <r>
      <t xml:space="preserve">4
3
</t>
    </r>
    <r>
      <rPr>
        <sz val="14"/>
        <color rgb="FF0070C0"/>
        <rFont val="Calibri (Body)_x0000_"/>
      </rPr>
      <t>2</t>
    </r>
    <r>
      <rPr>
        <sz val="14"/>
        <color theme="1"/>
        <rFont val="Calibri"/>
        <family val="2"/>
        <scheme val="minor"/>
      </rPr>
      <t xml:space="preserve">
1
0
***</t>
    </r>
  </si>
  <si>
    <t>Undergraduate Quality</t>
  </si>
  <si>
    <t>Undergraduate Performance</t>
  </si>
  <si>
    <r>
      <t xml:space="preserve">GPA ≥ 3.8
GPA ≥ 3.5
</t>
    </r>
    <r>
      <rPr>
        <sz val="14"/>
        <color theme="4"/>
        <rFont val="Calibri (Body)_x0000_"/>
      </rPr>
      <t>GPA ≥ 3.25</t>
    </r>
    <r>
      <rPr>
        <sz val="14"/>
        <color theme="1"/>
        <rFont val="Calibri"/>
        <family val="2"/>
        <scheme val="minor"/>
      </rPr>
      <t xml:space="preserve">
GPA ≥ 3.0
GPA &lt;3</t>
    </r>
  </si>
  <si>
    <t>4
3
2
1
0</t>
  </si>
  <si>
    <t>USMLE Step 1</t>
  </si>
  <si>
    <r>
      <rPr>
        <sz val="14"/>
        <color theme="4"/>
        <rFont val="Calibri (Body)_x0000_"/>
      </rPr>
      <t>Passed on 1st attempt</t>
    </r>
    <r>
      <rPr>
        <sz val="14"/>
        <color theme="1"/>
        <rFont val="Calibri"/>
        <family val="2"/>
        <scheme val="minor"/>
      </rPr>
      <t xml:space="preserve"> --&gt; continue to review
Did not pass on 1st attempt --&gt; do not review further</t>
    </r>
  </si>
  <si>
    <t>P
F</t>
  </si>
  <si>
    <t>P</t>
  </si>
  <si>
    <t>Zarin Kothari</t>
  </si>
  <si>
    <t>Sanjana Molleti</t>
  </si>
  <si>
    <t>Viana Phan</t>
  </si>
  <si>
    <t>Regina Scott</t>
  </si>
  <si>
    <t>Significant leadership/founding positions, national recognition in endeavors, national fiddle champion; Native American; letters were so-so</t>
  </si>
  <si>
    <t>Kevin Shan</t>
  </si>
  <si>
    <t>Significant leadership/founding positions</t>
  </si>
  <si>
    <t>Giani Tah</t>
  </si>
  <si>
    <t>Particularly interested in Northwestern’s Center for Engineering in Vision and Ophthalmology (CEVO); Cameroonian immigrant</t>
  </si>
  <si>
    <t>Emma Tsai</t>
  </si>
  <si>
    <t>Overcame primary lymphedema history as a child</t>
  </si>
  <si>
    <t>Michael Yu</t>
  </si>
  <si>
    <t>C</t>
  </si>
  <si>
    <t>Currently a Oph reserach fellow (Kresge) due to not matching last go-around</t>
  </si>
  <si>
    <t>Allison Zhao</t>
  </si>
  <si>
    <t>A</t>
  </si>
  <si>
    <t>Clinical Research Fellow at Cole Eye; several first-author papers include 3 in IOVS; 2 outstanding letters</t>
  </si>
  <si>
    <t>Symon Ma</t>
  </si>
  <si>
    <t>Mauricio Garcia</t>
  </si>
  <si>
    <t>Fulbright scholar; underserved Hispanic community (S Central LA) with parents fleeing civil war in El Salvador and got full scholarship to Harvard</t>
  </si>
  <si>
    <t>Sarah Wagner</t>
  </si>
  <si>
    <t>Former software engineer at Meta working on healthcare related project; excellent letters</t>
  </si>
  <si>
    <t>Joshua Garcia</t>
  </si>
  <si>
    <t>Rohail Memon</t>
  </si>
  <si>
    <t>Experience in banking, business, management; curious to see three difference undergraduate schools</t>
  </si>
  <si>
    <t>Jesse Most</t>
  </si>
  <si>
    <t>Melanie Tran</t>
  </si>
  <si>
    <t>Alvina Liang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</si>
</sst>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4"/>
      <color theme="4"/>
      <name val="Calibri (Body)_x0000_"/>
    </font>
    <font>
      <i/>
      <sz val="16"/>
      <color theme="1"/>
      <name val="Calibri"/>
      <family val="2"/>
      <scheme val="minor"/>
    </font>
    <font>
      <sz val="14"/>
      <color rgb="FF0070C0"/>
      <name val="Calibri (Body)_x0000_"/>
    </font>
    <font>
      <i/>
      <sz val="14"/>
      <color rgb="FF0070C0"/>
      <name val="Calibri (Body)_x0000_"/>
    </font>
    <font>
      <sz val="14"/>
      <color rgb="FF0070C0"/>
      <name val="Calibri"/>
      <family val="2"/>
      <scheme val="minor"/>
    </font>
    <font>
      <sz val="18"/>
      <color theme="1"/>
      <name val="Calibri (Body)_x0000_"/>
    </font>
    <font>
      <sz val="14"/>
      <color theme="1"/>
      <name val="Calibri (Body)_x0000_"/>
    </font>
    <font>
      <sz val="14"/>
      <color rgb="FF0070C0"/>
      <name val="Calibri (Body)"/>
    </font>
    <font>
      <sz val="14"/>
      <color rgb="FF00B0F0"/>
      <name val="Calibri (Body)"/>
    </font>
    <font>
      <sz val="16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i/>
      <sz val="14"/>
      <color rgb="FF0070C0"/>
      <name val="Calibri (Body)"/>
    </font>
    <font>
      <b/>
      <sz val="14"/>
      <color theme="0"/>
      <name val="Calibri"/>
      <family val="2"/>
      <scheme val="minor"/>
    </font>
    <font>
      <i/>
      <sz val="14"/>
      <color theme="0"/>
      <name val="Calibri"/>
      <family val="2"/>
      <scheme val="minor"/>
    </font>
    <font>
      <b/>
      <sz val="14"/>
      <color rgb="FFFFFF00"/>
      <name val="Calibri (Body)"/>
    </font>
    <font>
      <i/>
      <sz val="14"/>
      <color rgb="FF7030A0"/>
      <name val="Calibri (Body)"/>
    </font>
    <font>
      <b/>
      <sz val="14"/>
      <color rgb="FF00B0F0"/>
      <name val="Calibri (Body)"/>
    </font>
    <font>
      <b/>
      <i/>
      <sz val="14"/>
      <color rgb="FFFFFF00"/>
      <name val="Calibri (Body)"/>
    </font>
    <font>
      <sz val="11"/>
      <color rgb="FF242424"/>
      <name val="Aptos Narrow"/>
      <charset val="1"/>
    </font>
    <font>
      <b/>
      <sz val="11"/>
      <color rgb="FF2D3744"/>
      <name val="Open Sans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E2CF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9D1F4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-0.24994659260841701"/>
        <bgColor indexed="64"/>
      </patternFill>
    </fill>
    <fill>
      <patternFill patternType="solid">
        <fgColor theme="9" tint="-0.2499465926084170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8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wrapText="1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3" fillId="3" borderId="2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left" vertical="center" wrapText="1"/>
    </xf>
    <xf numFmtId="0" fontId="1" fillId="6" borderId="2" xfId="0" applyFont="1" applyFill="1" applyBorder="1" applyAlignment="1">
      <alignment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10" borderId="2" xfId="0" applyFont="1" applyFill="1" applyBorder="1" applyAlignment="1">
      <alignment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0" fillId="13" borderId="0" xfId="0" applyFill="1" applyAlignment="1">
      <alignment wrapText="1"/>
    </xf>
    <xf numFmtId="0" fontId="0" fillId="13" borderId="0" xfId="0" applyFill="1"/>
    <xf numFmtId="0" fontId="6" fillId="9" borderId="2" xfId="0" applyFont="1" applyFill="1" applyBorder="1" applyAlignment="1">
      <alignment horizontal="left" vertical="center" wrapText="1"/>
    </xf>
    <xf numFmtId="0" fontId="1" fillId="11" borderId="2" xfId="0" applyFont="1" applyFill="1" applyBorder="1" applyAlignment="1">
      <alignment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7" fillId="14" borderId="0" xfId="0" applyFont="1" applyFill="1" applyAlignment="1">
      <alignment vertical="center" wrapText="1"/>
    </xf>
    <xf numFmtId="0" fontId="18" fillId="15" borderId="0" xfId="0" applyFont="1" applyFill="1" applyAlignment="1">
      <alignment wrapText="1"/>
    </xf>
    <xf numFmtId="0" fontId="18" fillId="15" borderId="0" xfId="0" applyFont="1" applyFill="1" applyAlignment="1">
      <alignment horizontal="center" vertical="center" wrapText="1"/>
    </xf>
    <xf numFmtId="0" fontId="13" fillId="3" borderId="2" xfId="0" applyFont="1" applyFill="1" applyBorder="1" applyAlignment="1">
      <alignment horizontal="left" vertical="center" wrapText="1"/>
    </xf>
    <xf numFmtId="0" fontId="13" fillId="1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5" fillId="4" borderId="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7" borderId="2" xfId="0" applyFont="1" applyFill="1" applyBorder="1" applyAlignment="1" applyProtection="1">
      <alignment horizontal="center" wrapText="1"/>
      <protection locked="0"/>
    </xf>
    <xf numFmtId="0" fontId="26" fillId="7" borderId="2" xfId="0" applyFont="1" applyFill="1" applyBorder="1" applyAlignment="1" applyProtection="1">
      <alignment horizontal="center" wrapText="1"/>
      <protection locked="0"/>
    </xf>
    <xf numFmtId="0" fontId="27" fillId="7" borderId="2" xfId="0" applyFont="1" applyFill="1" applyBorder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9D1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rgbClr val="7030A0"/>
                </a:solidFill>
              </a:rPr>
              <a:t>Candidate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7030A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'Kim, Boyoung (Michelle)'!$E$1:$E$3</c:f>
              <c:strCache>
                <c:ptCount val="3"/>
                <c:pt idx="0">
                  <c:v>Scientific Pursuits</c:v>
                </c:pt>
                <c:pt idx="1">
                  <c:v>Professional
Leadership</c:v>
                </c:pt>
                <c:pt idx="2">
                  <c:v>Social Leadership
&amp; Service</c:v>
                </c:pt>
              </c:strCache>
            </c:strRef>
          </c:cat>
          <c:val>
            <c:numRef>
              <c:f>'Kim, Boyoung (Michelle)'!$F$1:$F$3</c:f>
              <c:numCache>
                <c:formatCode>General</c:formatCode>
                <c:ptCount val="3"/>
                <c:pt idx="0">
                  <c:v>5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8F-4179-B017-146959BD8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494911"/>
        <c:axId val="2031548415"/>
      </c:radarChart>
      <c:catAx>
        <c:axId val="199549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548415"/>
        <c:crosses val="autoZero"/>
        <c:auto val="1"/>
        <c:lblAlgn val="ctr"/>
        <c:lblOffset val="100"/>
        <c:noMultiLvlLbl val="0"/>
      </c:catAx>
      <c:valAx>
        <c:axId val="2031548415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49491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rgbClr val="7030A0"/>
                </a:solidFill>
              </a:rPr>
              <a:t>Candidate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7030A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'Kothari, Zarin'!$E$1:$E$3</c:f>
              <c:strCache>
                <c:ptCount val="3"/>
                <c:pt idx="0">
                  <c:v>Scientific Pursuits</c:v>
                </c:pt>
                <c:pt idx="1">
                  <c:v>Professional
Leadership</c:v>
                </c:pt>
                <c:pt idx="2">
                  <c:v>Social Leadership
&amp; Service</c:v>
                </c:pt>
              </c:strCache>
            </c:strRef>
          </c:cat>
          <c:val>
            <c:numRef>
              <c:f>'Kothari, Zarin'!$F$1:$F$3</c:f>
              <c:numCache>
                <c:formatCode>General</c:formatCode>
                <c:ptCount val="3"/>
                <c:pt idx="0">
                  <c:v>2</c:v>
                </c:pt>
                <c:pt idx="1">
                  <c:v>6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8F-4F8C-A3EF-3B012A60B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494911"/>
        <c:axId val="2031548415"/>
      </c:radarChart>
      <c:catAx>
        <c:axId val="199549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548415"/>
        <c:crosses val="autoZero"/>
        <c:auto val="1"/>
        <c:lblAlgn val="ctr"/>
        <c:lblOffset val="100"/>
        <c:noMultiLvlLbl val="0"/>
      </c:catAx>
      <c:valAx>
        <c:axId val="2031548415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49491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rgbClr val="7030A0"/>
                </a:solidFill>
              </a:rPr>
              <a:t>Candidate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7030A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'Molleti, Sanjana'!$E$1:$E$3</c:f>
              <c:strCache>
                <c:ptCount val="3"/>
                <c:pt idx="0">
                  <c:v>Scientific Pursuits</c:v>
                </c:pt>
                <c:pt idx="1">
                  <c:v>Professional
Leadership</c:v>
                </c:pt>
                <c:pt idx="2">
                  <c:v>Social Leadership
&amp; Service</c:v>
                </c:pt>
              </c:strCache>
            </c:strRef>
          </c:cat>
          <c:val>
            <c:numRef>
              <c:f>'Molleti, Sanjana'!$F$1:$F$3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0F-4C3B-97F3-117CED9B3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494911"/>
        <c:axId val="2031548415"/>
      </c:radarChart>
      <c:catAx>
        <c:axId val="199549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548415"/>
        <c:crosses val="autoZero"/>
        <c:auto val="1"/>
        <c:lblAlgn val="ctr"/>
        <c:lblOffset val="100"/>
        <c:noMultiLvlLbl val="0"/>
      </c:catAx>
      <c:valAx>
        <c:axId val="2031548415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49491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rgbClr val="7030A0"/>
                </a:solidFill>
              </a:rPr>
              <a:t>Candidate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7030A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'Phan, Viana'!$E$1:$E$3</c:f>
              <c:strCache>
                <c:ptCount val="3"/>
                <c:pt idx="0">
                  <c:v>Scientific Pursuits</c:v>
                </c:pt>
                <c:pt idx="1">
                  <c:v>Professional
Leadership</c:v>
                </c:pt>
                <c:pt idx="2">
                  <c:v>Social Leadership
&amp; Service</c:v>
                </c:pt>
              </c:strCache>
            </c:strRef>
          </c:cat>
          <c:val>
            <c:numRef>
              <c:f>'Phan, Viana'!$F$1:$F$3</c:f>
              <c:numCache>
                <c:formatCode>General</c:formatCode>
                <c:ptCount val="3"/>
                <c:pt idx="0">
                  <c:v>4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51-455C-AF78-74B6F4534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494911"/>
        <c:axId val="2031548415"/>
      </c:radarChart>
      <c:catAx>
        <c:axId val="199549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548415"/>
        <c:crosses val="autoZero"/>
        <c:auto val="1"/>
        <c:lblAlgn val="ctr"/>
        <c:lblOffset val="100"/>
        <c:noMultiLvlLbl val="0"/>
      </c:catAx>
      <c:valAx>
        <c:axId val="2031548415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49491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rgbClr val="7030A0"/>
                </a:solidFill>
              </a:rPr>
              <a:t>Candidate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7030A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'Scott, Regina'!$E$1:$E$3</c:f>
              <c:strCache>
                <c:ptCount val="3"/>
                <c:pt idx="0">
                  <c:v>Scientific Pursuits</c:v>
                </c:pt>
                <c:pt idx="1">
                  <c:v>Professional
Leadership</c:v>
                </c:pt>
                <c:pt idx="2">
                  <c:v>Social Leadership
&amp; Service</c:v>
                </c:pt>
              </c:strCache>
            </c:strRef>
          </c:cat>
          <c:val>
            <c:numRef>
              <c:f>'Scott, Regina'!$F$1:$F$3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8E-4A0B-BE7D-765470384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494911"/>
        <c:axId val="2031548415"/>
      </c:radarChart>
      <c:catAx>
        <c:axId val="199549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548415"/>
        <c:crosses val="autoZero"/>
        <c:auto val="1"/>
        <c:lblAlgn val="ctr"/>
        <c:lblOffset val="100"/>
        <c:noMultiLvlLbl val="0"/>
      </c:catAx>
      <c:valAx>
        <c:axId val="2031548415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49491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rgbClr val="7030A0"/>
                </a:solidFill>
              </a:rPr>
              <a:t>Candidate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7030A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'Shan, Kevin'!$E$1:$E$3</c:f>
              <c:strCache>
                <c:ptCount val="3"/>
                <c:pt idx="0">
                  <c:v>Scientific Pursuits</c:v>
                </c:pt>
                <c:pt idx="1">
                  <c:v>Professional
Leadership</c:v>
                </c:pt>
                <c:pt idx="2">
                  <c:v>Social Leadership
&amp; Service</c:v>
                </c:pt>
              </c:strCache>
            </c:strRef>
          </c:cat>
          <c:val>
            <c:numRef>
              <c:f>'Shan, Kevin'!$F$1:$F$3</c:f>
              <c:numCache>
                <c:formatCode>General</c:formatCode>
                <c:ptCount val="3"/>
                <c:pt idx="0">
                  <c:v>4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9A-436B-94C8-BF32A07F3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494911"/>
        <c:axId val="2031548415"/>
      </c:radarChart>
      <c:catAx>
        <c:axId val="199549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548415"/>
        <c:crosses val="autoZero"/>
        <c:auto val="1"/>
        <c:lblAlgn val="ctr"/>
        <c:lblOffset val="100"/>
        <c:noMultiLvlLbl val="0"/>
      </c:catAx>
      <c:valAx>
        <c:axId val="2031548415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49491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rgbClr val="7030A0"/>
                </a:solidFill>
              </a:rPr>
              <a:t>Candidate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7030A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'Tah, Giani'!$E$1:$E$3</c:f>
              <c:strCache>
                <c:ptCount val="3"/>
                <c:pt idx="0">
                  <c:v>Scientific Pursuits</c:v>
                </c:pt>
                <c:pt idx="1">
                  <c:v>Professional
Leadership</c:v>
                </c:pt>
                <c:pt idx="2">
                  <c:v>Social Leadership
&amp; Service</c:v>
                </c:pt>
              </c:strCache>
            </c:strRef>
          </c:cat>
          <c:val>
            <c:numRef>
              <c:f>'Tah, Giani'!$F$1:$F$3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2F-4240-A412-099E0FA2B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494911"/>
        <c:axId val="2031548415"/>
      </c:radarChart>
      <c:catAx>
        <c:axId val="199549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548415"/>
        <c:crosses val="autoZero"/>
        <c:auto val="1"/>
        <c:lblAlgn val="ctr"/>
        <c:lblOffset val="100"/>
        <c:noMultiLvlLbl val="0"/>
      </c:catAx>
      <c:valAx>
        <c:axId val="2031548415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49491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rgbClr val="7030A0"/>
                </a:solidFill>
              </a:rPr>
              <a:t>Candidate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7030A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'Tsai, Emma'!$E$1:$E$3</c:f>
              <c:strCache>
                <c:ptCount val="3"/>
                <c:pt idx="0">
                  <c:v>Scientific Pursuits</c:v>
                </c:pt>
                <c:pt idx="1">
                  <c:v>Professional
Leadership</c:v>
                </c:pt>
                <c:pt idx="2">
                  <c:v>Social Leadership
&amp; Service</c:v>
                </c:pt>
              </c:strCache>
            </c:strRef>
          </c:cat>
          <c:val>
            <c:numRef>
              <c:f>'Tsai, Emma'!$F$1:$F$3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FB-455D-829B-A79125142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494911"/>
        <c:axId val="2031548415"/>
      </c:radarChart>
      <c:catAx>
        <c:axId val="199549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548415"/>
        <c:crosses val="autoZero"/>
        <c:auto val="1"/>
        <c:lblAlgn val="ctr"/>
        <c:lblOffset val="100"/>
        <c:noMultiLvlLbl val="0"/>
      </c:catAx>
      <c:valAx>
        <c:axId val="2031548415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49491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rgbClr val="7030A0"/>
                </a:solidFill>
              </a:rPr>
              <a:t>Candidate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7030A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'Yu, Michael '!$E$1:$E$3</c:f>
              <c:strCache>
                <c:ptCount val="3"/>
                <c:pt idx="0">
                  <c:v>Scientific Pursuits</c:v>
                </c:pt>
                <c:pt idx="1">
                  <c:v>Professional
Leadership</c:v>
                </c:pt>
                <c:pt idx="2">
                  <c:v>Social Leadership
&amp; Service</c:v>
                </c:pt>
              </c:strCache>
            </c:strRef>
          </c:cat>
          <c:val>
            <c:numRef>
              <c:f>'Yu, Michael '!$F$1:$F$3</c:f>
              <c:numCache>
                <c:formatCode>General</c:formatCode>
                <c:ptCount val="3"/>
                <c:pt idx="0">
                  <c:v>1.5</c:v>
                </c:pt>
                <c:pt idx="1">
                  <c:v>2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A-4A49-9304-5EC466E22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494911"/>
        <c:axId val="2031548415"/>
      </c:radarChart>
      <c:catAx>
        <c:axId val="199549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548415"/>
        <c:crosses val="autoZero"/>
        <c:auto val="1"/>
        <c:lblAlgn val="ctr"/>
        <c:lblOffset val="100"/>
        <c:noMultiLvlLbl val="0"/>
      </c:catAx>
      <c:valAx>
        <c:axId val="2031548415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49491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rgbClr val="7030A0"/>
                </a:solidFill>
              </a:rPr>
              <a:t>Candidate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7030A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'Zhao, Allison'!$E$1:$E$3</c:f>
              <c:strCache>
                <c:ptCount val="3"/>
                <c:pt idx="0">
                  <c:v>Scientific Pursuits</c:v>
                </c:pt>
                <c:pt idx="1">
                  <c:v>Professional
Leadership</c:v>
                </c:pt>
                <c:pt idx="2">
                  <c:v>Social Leadership
&amp; Service</c:v>
                </c:pt>
              </c:strCache>
            </c:strRef>
          </c:cat>
          <c:val>
            <c:numRef>
              <c:f>'Zhao, Allison'!$F$1:$F$3</c:f>
              <c:numCache>
                <c:formatCode>General</c:formatCode>
                <c:ptCount val="3"/>
                <c:pt idx="0">
                  <c:v>6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9-4916-B4A7-85209D0E7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494911"/>
        <c:axId val="2031548415"/>
      </c:radarChart>
      <c:catAx>
        <c:axId val="199549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548415"/>
        <c:crosses val="autoZero"/>
        <c:auto val="1"/>
        <c:lblAlgn val="ctr"/>
        <c:lblOffset val="100"/>
        <c:noMultiLvlLbl val="0"/>
      </c:catAx>
      <c:valAx>
        <c:axId val="2031548415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49491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rgbClr val="7030A0"/>
                </a:solidFill>
              </a:rPr>
              <a:t>Candidate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7030A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'Ma, Symon'!$E$1:$E$3</c:f>
              <c:strCache>
                <c:ptCount val="3"/>
                <c:pt idx="0">
                  <c:v>Scientific Pursuits</c:v>
                </c:pt>
                <c:pt idx="1">
                  <c:v>Professional
Leadership</c:v>
                </c:pt>
                <c:pt idx="2">
                  <c:v>Social Leadership
&amp; Service</c:v>
                </c:pt>
              </c:strCache>
            </c:strRef>
          </c:cat>
          <c:val>
            <c:numRef>
              <c:f>'Ma, Symon'!$F$1:$F$3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D8-4A15-B2B3-5CBB3F8CD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494911"/>
        <c:axId val="2031548415"/>
      </c:radarChart>
      <c:catAx>
        <c:axId val="199549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548415"/>
        <c:crosses val="autoZero"/>
        <c:auto val="1"/>
        <c:lblAlgn val="ctr"/>
        <c:lblOffset val="100"/>
        <c:noMultiLvlLbl val="0"/>
      </c:catAx>
      <c:valAx>
        <c:axId val="2031548415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49491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rgbClr val="7030A0"/>
                </a:solidFill>
              </a:rPr>
              <a:t>Candidate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7030A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'Garcia, Mauricio'!$E$1:$E$3</c:f>
              <c:strCache>
                <c:ptCount val="3"/>
                <c:pt idx="0">
                  <c:v>Scientific Pursuits</c:v>
                </c:pt>
                <c:pt idx="1">
                  <c:v>Professional
Leadership</c:v>
                </c:pt>
                <c:pt idx="2">
                  <c:v>Social Leadership
&amp; Service</c:v>
                </c:pt>
              </c:strCache>
            </c:strRef>
          </c:cat>
          <c:val>
            <c:numRef>
              <c:f>'Garcia, Mauricio'!$F$1:$F$3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7F-477C-9298-BB5E43B84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494911"/>
        <c:axId val="2031548415"/>
      </c:radarChart>
      <c:catAx>
        <c:axId val="199549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548415"/>
        <c:crosses val="autoZero"/>
        <c:auto val="1"/>
        <c:lblAlgn val="ctr"/>
        <c:lblOffset val="100"/>
        <c:noMultiLvlLbl val="0"/>
      </c:catAx>
      <c:valAx>
        <c:axId val="2031548415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49491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rgbClr val="7030A0"/>
                </a:solidFill>
              </a:rPr>
              <a:t>Candidate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7030A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'Wagner, Sarah'!$E$1:$E$3</c:f>
              <c:strCache>
                <c:ptCount val="3"/>
                <c:pt idx="0">
                  <c:v>Scientific Pursuits</c:v>
                </c:pt>
                <c:pt idx="1">
                  <c:v>Professional
Leadership</c:v>
                </c:pt>
                <c:pt idx="2">
                  <c:v>Social Leadership
&amp; Service</c:v>
                </c:pt>
              </c:strCache>
            </c:strRef>
          </c:cat>
          <c:val>
            <c:numRef>
              <c:f>'Wagner, Sarah'!$F$1:$F$3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85-478B-85FD-D6C608AA5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494911"/>
        <c:axId val="2031548415"/>
      </c:radarChart>
      <c:catAx>
        <c:axId val="199549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548415"/>
        <c:crosses val="autoZero"/>
        <c:auto val="1"/>
        <c:lblAlgn val="ctr"/>
        <c:lblOffset val="100"/>
        <c:noMultiLvlLbl val="0"/>
      </c:catAx>
      <c:valAx>
        <c:axId val="2031548415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49491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rgbClr val="7030A0"/>
                </a:solidFill>
              </a:rPr>
              <a:t>Candidate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7030A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'Garcia, Joshua'!$E$1:$E$3</c:f>
              <c:strCache>
                <c:ptCount val="3"/>
                <c:pt idx="0">
                  <c:v>Scientific Pursuits</c:v>
                </c:pt>
                <c:pt idx="1">
                  <c:v>Professional
Leadership</c:v>
                </c:pt>
                <c:pt idx="2">
                  <c:v>Social Leadership
&amp; Service</c:v>
                </c:pt>
              </c:strCache>
            </c:strRef>
          </c:cat>
          <c:val>
            <c:numRef>
              <c:f>'Garcia, Joshua'!$F$1:$F$3</c:f>
              <c:numCache>
                <c:formatCode>General</c:formatCode>
                <c:ptCount val="3"/>
                <c:pt idx="0">
                  <c:v>4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6B-4C7E-A31E-7ACE77698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494911"/>
        <c:axId val="2031548415"/>
      </c:radarChart>
      <c:catAx>
        <c:axId val="199549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548415"/>
        <c:crosses val="autoZero"/>
        <c:auto val="1"/>
        <c:lblAlgn val="ctr"/>
        <c:lblOffset val="100"/>
        <c:noMultiLvlLbl val="0"/>
      </c:catAx>
      <c:valAx>
        <c:axId val="2031548415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49491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rgbClr val="7030A0"/>
                </a:solidFill>
              </a:rPr>
              <a:t>Candidate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7030A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'Memon, Rohail'!$E$1:$E$3</c:f>
              <c:strCache>
                <c:ptCount val="3"/>
                <c:pt idx="0">
                  <c:v>Scientific Pursuits</c:v>
                </c:pt>
                <c:pt idx="1">
                  <c:v>Professional
Leadership</c:v>
                </c:pt>
                <c:pt idx="2">
                  <c:v>Social Leadership
&amp; Service</c:v>
                </c:pt>
              </c:strCache>
            </c:strRef>
          </c:cat>
          <c:val>
            <c:numRef>
              <c:f>'Memon, Rohail'!$F$1:$F$3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E5-4186-9C9C-3DEAB8F43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494911"/>
        <c:axId val="2031548415"/>
      </c:radarChart>
      <c:catAx>
        <c:axId val="199549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548415"/>
        <c:crosses val="autoZero"/>
        <c:auto val="1"/>
        <c:lblAlgn val="ctr"/>
        <c:lblOffset val="100"/>
        <c:noMultiLvlLbl val="0"/>
      </c:catAx>
      <c:valAx>
        <c:axId val="2031548415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49491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rgbClr val="7030A0"/>
                </a:solidFill>
              </a:rPr>
              <a:t>Candidate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7030A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'Most, Jesse'!$E$1:$E$3</c:f>
              <c:strCache>
                <c:ptCount val="3"/>
                <c:pt idx="0">
                  <c:v>Scientific Pursuits</c:v>
                </c:pt>
                <c:pt idx="1">
                  <c:v>Professional
Leadership</c:v>
                </c:pt>
                <c:pt idx="2">
                  <c:v>Social Leadership
&amp; Service</c:v>
                </c:pt>
              </c:strCache>
            </c:strRef>
          </c:cat>
          <c:val>
            <c:numRef>
              <c:f>'Most, Jesse'!$F$1:$F$3</c:f>
              <c:numCache>
                <c:formatCode>General</c:formatCode>
                <c:ptCount val="3"/>
                <c:pt idx="0">
                  <c:v>5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E2-46DB-A8F9-55364E102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494911"/>
        <c:axId val="2031548415"/>
      </c:radarChart>
      <c:catAx>
        <c:axId val="199549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548415"/>
        <c:crosses val="autoZero"/>
        <c:auto val="1"/>
        <c:lblAlgn val="ctr"/>
        <c:lblOffset val="100"/>
        <c:noMultiLvlLbl val="0"/>
      </c:catAx>
      <c:valAx>
        <c:axId val="2031548415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49491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rgbClr val="7030A0"/>
                </a:solidFill>
              </a:rPr>
              <a:t>Candidate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7030A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'Tran, Melanie'!$E$1:$E$3</c:f>
              <c:strCache>
                <c:ptCount val="3"/>
                <c:pt idx="0">
                  <c:v>Scientific Pursuits</c:v>
                </c:pt>
                <c:pt idx="1">
                  <c:v>Professional
Leadership</c:v>
                </c:pt>
                <c:pt idx="2">
                  <c:v>Social Leadership
&amp; Service</c:v>
                </c:pt>
              </c:strCache>
            </c:strRef>
          </c:cat>
          <c:val>
            <c:numRef>
              <c:f>'Tran, Melanie'!$F$1:$F$3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E-426E-A829-C898D30F0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494911"/>
        <c:axId val="2031548415"/>
      </c:radarChart>
      <c:catAx>
        <c:axId val="199549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548415"/>
        <c:crosses val="autoZero"/>
        <c:auto val="1"/>
        <c:lblAlgn val="ctr"/>
        <c:lblOffset val="100"/>
        <c:noMultiLvlLbl val="0"/>
      </c:catAx>
      <c:valAx>
        <c:axId val="2031548415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49491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rgbClr val="7030A0"/>
                </a:solidFill>
              </a:rPr>
              <a:t>Candidate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7030A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'Liang, Alvin'!$E$1:$E$3</c:f>
              <c:strCache>
                <c:ptCount val="3"/>
                <c:pt idx="0">
                  <c:v>Scientific Pursuits</c:v>
                </c:pt>
                <c:pt idx="1">
                  <c:v>Professional
Leadership</c:v>
                </c:pt>
                <c:pt idx="2">
                  <c:v>Social Leadership
&amp; Service</c:v>
                </c:pt>
              </c:strCache>
            </c:strRef>
          </c:cat>
          <c:val>
            <c:numRef>
              <c:f>'Liang, Alvin'!$F$1:$F$3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A4-A94C-B37A-8CBDDC282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494911"/>
        <c:axId val="2031548415"/>
      </c:radarChart>
      <c:catAx>
        <c:axId val="199549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548415"/>
        <c:crosses val="autoZero"/>
        <c:auto val="1"/>
        <c:lblAlgn val="ctr"/>
        <c:lblOffset val="100"/>
        <c:noMultiLvlLbl val="0"/>
      </c:catAx>
      <c:valAx>
        <c:axId val="2031548415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49491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38563</xdr:colOff>
      <xdr:row>0</xdr:row>
      <xdr:rowOff>0</xdr:rowOff>
    </xdr:from>
    <xdr:to>
      <xdr:col>9</xdr:col>
      <xdr:colOff>483063</xdr:colOff>
      <xdr:row>5</xdr:row>
      <xdr:rowOff>249182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A8E99D7A-230A-45AD-937B-ADE48FE5AE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38563</xdr:colOff>
      <xdr:row>0</xdr:row>
      <xdr:rowOff>0</xdr:rowOff>
    </xdr:from>
    <xdr:to>
      <xdr:col>9</xdr:col>
      <xdr:colOff>483063</xdr:colOff>
      <xdr:row>5</xdr:row>
      <xdr:rowOff>249182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A64285B3-E277-41E2-8C3A-AD46CA68F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38563</xdr:colOff>
      <xdr:row>0</xdr:row>
      <xdr:rowOff>0</xdr:rowOff>
    </xdr:from>
    <xdr:to>
      <xdr:col>9</xdr:col>
      <xdr:colOff>483063</xdr:colOff>
      <xdr:row>5</xdr:row>
      <xdr:rowOff>249182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2257EA1B-16B3-46E3-A6EF-D6BC04EB41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38563</xdr:colOff>
      <xdr:row>0</xdr:row>
      <xdr:rowOff>0</xdr:rowOff>
    </xdr:from>
    <xdr:to>
      <xdr:col>9</xdr:col>
      <xdr:colOff>483063</xdr:colOff>
      <xdr:row>5</xdr:row>
      <xdr:rowOff>249182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B48F237A-E99A-4435-84B5-25DB467D2D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38563</xdr:colOff>
      <xdr:row>0</xdr:row>
      <xdr:rowOff>0</xdr:rowOff>
    </xdr:from>
    <xdr:to>
      <xdr:col>9</xdr:col>
      <xdr:colOff>483063</xdr:colOff>
      <xdr:row>5</xdr:row>
      <xdr:rowOff>249182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7C96E890-8CA7-4E68-9359-70DBE3F054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38563</xdr:colOff>
      <xdr:row>0</xdr:row>
      <xdr:rowOff>0</xdr:rowOff>
    </xdr:from>
    <xdr:to>
      <xdr:col>9</xdr:col>
      <xdr:colOff>483063</xdr:colOff>
      <xdr:row>5</xdr:row>
      <xdr:rowOff>249182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6FBD0EF-5A94-4670-812E-78F79E98BB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38563</xdr:colOff>
      <xdr:row>0</xdr:row>
      <xdr:rowOff>0</xdr:rowOff>
    </xdr:from>
    <xdr:to>
      <xdr:col>9</xdr:col>
      <xdr:colOff>483063</xdr:colOff>
      <xdr:row>5</xdr:row>
      <xdr:rowOff>249182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3CA80B90-B404-4155-AF19-C3BFAE1BF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38563</xdr:colOff>
      <xdr:row>0</xdr:row>
      <xdr:rowOff>0</xdr:rowOff>
    </xdr:from>
    <xdr:to>
      <xdr:col>9</xdr:col>
      <xdr:colOff>483063</xdr:colOff>
      <xdr:row>5</xdr:row>
      <xdr:rowOff>249182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A70DC900-5336-4FFC-B8D9-144EAB4F30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38563</xdr:colOff>
      <xdr:row>0</xdr:row>
      <xdr:rowOff>0</xdr:rowOff>
    </xdr:from>
    <xdr:to>
      <xdr:col>9</xdr:col>
      <xdr:colOff>483063</xdr:colOff>
      <xdr:row>5</xdr:row>
      <xdr:rowOff>249182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A2B60385-D649-4DE7-8E96-51AB3401C6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38563</xdr:colOff>
      <xdr:row>0</xdr:row>
      <xdr:rowOff>0</xdr:rowOff>
    </xdr:from>
    <xdr:to>
      <xdr:col>9</xdr:col>
      <xdr:colOff>483063</xdr:colOff>
      <xdr:row>5</xdr:row>
      <xdr:rowOff>249182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588A9C63-A597-4D75-9B59-99962959D6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38563</xdr:colOff>
      <xdr:row>0</xdr:row>
      <xdr:rowOff>0</xdr:rowOff>
    </xdr:from>
    <xdr:to>
      <xdr:col>9</xdr:col>
      <xdr:colOff>483063</xdr:colOff>
      <xdr:row>5</xdr:row>
      <xdr:rowOff>249182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24035BB2-9A23-4633-8947-5C5D9F3170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38563</xdr:colOff>
      <xdr:row>0</xdr:row>
      <xdr:rowOff>0</xdr:rowOff>
    </xdr:from>
    <xdr:to>
      <xdr:col>9</xdr:col>
      <xdr:colOff>483063</xdr:colOff>
      <xdr:row>5</xdr:row>
      <xdr:rowOff>249182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15D637D5-1F08-4D7D-A8F6-9E58477634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38563</xdr:colOff>
      <xdr:row>0</xdr:row>
      <xdr:rowOff>0</xdr:rowOff>
    </xdr:from>
    <xdr:to>
      <xdr:col>9</xdr:col>
      <xdr:colOff>483063</xdr:colOff>
      <xdr:row>5</xdr:row>
      <xdr:rowOff>249182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81AFCE62-38F7-424D-980B-227A6F8C4C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38563</xdr:colOff>
      <xdr:row>0</xdr:row>
      <xdr:rowOff>0</xdr:rowOff>
    </xdr:from>
    <xdr:to>
      <xdr:col>9</xdr:col>
      <xdr:colOff>483063</xdr:colOff>
      <xdr:row>5</xdr:row>
      <xdr:rowOff>249182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E5E3A546-4E4B-4C00-8F6F-0EF3075262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38563</xdr:colOff>
      <xdr:row>0</xdr:row>
      <xdr:rowOff>0</xdr:rowOff>
    </xdr:from>
    <xdr:to>
      <xdr:col>9</xdr:col>
      <xdr:colOff>483063</xdr:colOff>
      <xdr:row>5</xdr:row>
      <xdr:rowOff>249182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C10CE86D-42D9-4C4F-AFEE-64C47AB65A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38563</xdr:colOff>
      <xdr:row>0</xdr:row>
      <xdr:rowOff>0</xdr:rowOff>
    </xdr:from>
    <xdr:to>
      <xdr:col>9</xdr:col>
      <xdr:colOff>483063</xdr:colOff>
      <xdr:row>5</xdr:row>
      <xdr:rowOff>249182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1DC60A5E-0D02-4242-8954-AE5042E4D9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38563</xdr:colOff>
      <xdr:row>0</xdr:row>
      <xdr:rowOff>0</xdr:rowOff>
    </xdr:from>
    <xdr:to>
      <xdr:col>9</xdr:col>
      <xdr:colOff>483063</xdr:colOff>
      <xdr:row>5</xdr:row>
      <xdr:rowOff>249182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AFC776C9-10AF-4237-AEAF-5558753766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38563</xdr:colOff>
      <xdr:row>0</xdr:row>
      <xdr:rowOff>0</xdr:rowOff>
    </xdr:from>
    <xdr:to>
      <xdr:col>9</xdr:col>
      <xdr:colOff>483063</xdr:colOff>
      <xdr:row>5</xdr:row>
      <xdr:rowOff>249182</xdr:rowOff>
    </xdr:to>
    <xdr:graphicFrame macro="">
      <xdr:nvGraphicFramePr>
        <xdr:cNvPr id="8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11337-3EA4-44D0-93A5-B506FD9AEB23}">
  <sheetPr>
    <tabColor rgb="FFFFFF00"/>
  </sheetPr>
  <dimension ref="A1:S18"/>
  <sheetViews>
    <sheetView topLeftCell="F6" zoomScale="60" zoomScaleNormal="60" workbookViewId="0">
      <selection activeCell="K9" sqref="K9"/>
    </sheetView>
  </sheetViews>
  <sheetFormatPr defaultColWidth="11" defaultRowHeight="18.600000000000001"/>
  <cols>
    <col min="1" max="1" width="32.625" style="8" customWidth="1"/>
    <col min="2" max="2" width="82" style="6" customWidth="1"/>
    <col min="3" max="3" width="6.625" style="9" customWidth="1"/>
    <col min="4" max="4" width="11" style="9"/>
    <col min="5" max="5" width="11" style="4"/>
    <col min="6" max="16384" width="11" style="5"/>
  </cols>
  <sheetData>
    <row r="1" spans="1:19" ht="30.95">
      <c r="A1" s="33" t="s">
        <v>0</v>
      </c>
      <c r="B1" s="33"/>
      <c r="C1" s="33"/>
      <c r="D1" s="33"/>
      <c r="E1" s="10" t="s">
        <v>1</v>
      </c>
      <c r="F1">
        <f>(D5+D6)</f>
        <v>5</v>
      </c>
      <c r="G1"/>
      <c r="H1"/>
      <c r="I1"/>
      <c r="J1"/>
      <c r="K1"/>
      <c r="L1"/>
      <c r="M1"/>
      <c r="N1"/>
      <c r="O1"/>
      <c r="P1"/>
      <c r="Q1"/>
      <c r="R1"/>
      <c r="S1"/>
    </row>
    <row r="2" spans="1:19" ht="30.95">
      <c r="A2" s="11" t="s">
        <v>2</v>
      </c>
      <c r="B2" s="34" t="s">
        <v>3</v>
      </c>
      <c r="C2" s="34"/>
      <c r="D2" s="35">
        <f>D5+D6+D7+D8+D9+D10+D11+D14+D15+D16+D17</f>
        <v>26</v>
      </c>
      <c r="E2" s="12" t="s">
        <v>4</v>
      </c>
      <c r="F2">
        <f>D7+D8</f>
        <v>2</v>
      </c>
      <c r="G2"/>
      <c r="H2"/>
      <c r="I2"/>
      <c r="J2"/>
      <c r="K2"/>
      <c r="L2"/>
      <c r="M2"/>
      <c r="N2"/>
      <c r="O2"/>
      <c r="P2"/>
      <c r="Q2"/>
      <c r="R2"/>
      <c r="S2"/>
    </row>
    <row r="3" spans="1:19" ht="26.1" customHeight="1">
      <c r="A3" s="13" t="s">
        <v>5</v>
      </c>
      <c r="B3" s="37" t="s">
        <v>6</v>
      </c>
      <c r="C3" s="37"/>
      <c r="D3" s="36"/>
      <c r="E3" s="12" t="s">
        <v>7</v>
      </c>
      <c r="F3">
        <f>D9</f>
        <v>2</v>
      </c>
      <c r="G3"/>
      <c r="H3"/>
      <c r="I3"/>
      <c r="J3"/>
      <c r="K3"/>
      <c r="L3"/>
      <c r="M3"/>
      <c r="N3"/>
      <c r="O3"/>
      <c r="P3"/>
      <c r="Q3"/>
      <c r="R3"/>
      <c r="S3"/>
    </row>
    <row r="4" spans="1:19" ht="21">
      <c r="A4" s="13" t="s">
        <v>8</v>
      </c>
      <c r="B4" s="14" t="s">
        <v>9</v>
      </c>
      <c r="C4" s="15" t="s">
        <v>10</v>
      </c>
      <c r="D4" s="16" t="s">
        <v>11</v>
      </c>
      <c r="E4" s="10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 spans="1:19" ht="74.099999999999994">
      <c r="A5" s="17" t="s">
        <v>12</v>
      </c>
      <c r="B5" s="18" t="s">
        <v>13</v>
      </c>
      <c r="C5" s="19" t="s">
        <v>14</v>
      </c>
      <c r="D5" s="1">
        <v>2</v>
      </c>
      <c r="E5" s="10"/>
      <c r="F5" s="20"/>
      <c r="G5" s="20"/>
      <c r="H5"/>
      <c r="I5"/>
      <c r="J5"/>
      <c r="K5"/>
      <c r="L5"/>
      <c r="M5"/>
      <c r="N5"/>
      <c r="O5"/>
      <c r="P5"/>
      <c r="Q5"/>
      <c r="R5"/>
      <c r="S5"/>
    </row>
    <row r="6" spans="1:19" ht="177" customHeight="1">
      <c r="A6" s="17" t="s">
        <v>15</v>
      </c>
      <c r="B6" s="18" t="s">
        <v>16</v>
      </c>
      <c r="C6" s="19" t="s">
        <v>17</v>
      </c>
      <c r="D6" s="1">
        <v>3</v>
      </c>
      <c r="E6" s="10"/>
      <c r="F6" s="20"/>
      <c r="G6" s="20"/>
      <c r="H6"/>
      <c r="I6"/>
      <c r="J6"/>
      <c r="K6"/>
      <c r="L6"/>
      <c r="M6"/>
      <c r="N6"/>
      <c r="O6"/>
      <c r="P6"/>
      <c r="Q6"/>
      <c r="R6"/>
      <c r="S6"/>
    </row>
    <row r="7" spans="1:19" ht="144.94999999999999" customHeight="1">
      <c r="A7" s="13" t="s">
        <v>18</v>
      </c>
      <c r="B7" s="21" t="s">
        <v>19</v>
      </c>
      <c r="C7" s="22" t="s">
        <v>20</v>
      </c>
      <c r="D7" s="1">
        <v>0</v>
      </c>
      <c r="E7" s="10"/>
      <c r="F7" s="20" t="s">
        <v>21</v>
      </c>
      <c r="G7" s="20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 t="s">
        <v>32</v>
      </c>
      <c r="R7" t="s">
        <v>33</v>
      </c>
      <c r="S7" t="s">
        <v>34</v>
      </c>
    </row>
    <row r="8" spans="1:19" ht="156.6">
      <c r="A8" s="13" t="s">
        <v>35</v>
      </c>
      <c r="B8" s="21" t="s">
        <v>36</v>
      </c>
      <c r="C8" s="22" t="s">
        <v>37</v>
      </c>
      <c r="D8" s="1">
        <v>2</v>
      </c>
      <c r="E8" s="10"/>
      <c r="F8" s="23">
        <f>+D2</f>
        <v>26</v>
      </c>
      <c r="G8" s="23">
        <f>D5</f>
        <v>2</v>
      </c>
      <c r="H8" s="24">
        <f>D6</f>
        <v>3</v>
      </c>
      <c r="I8" s="24">
        <f>D7</f>
        <v>0</v>
      </c>
      <c r="J8" s="24">
        <f>D8</f>
        <v>2</v>
      </c>
      <c r="K8" s="24">
        <f>D9</f>
        <v>2</v>
      </c>
      <c r="L8" s="24">
        <f>D10</f>
        <v>0</v>
      </c>
      <c r="M8" s="24">
        <f>D11</f>
        <v>3</v>
      </c>
      <c r="N8" s="24">
        <f>D14</f>
        <v>4</v>
      </c>
      <c r="O8" s="24">
        <f>D15</f>
        <v>4</v>
      </c>
      <c r="P8" s="24">
        <f>D16</f>
        <v>2</v>
      </c>
      <c r="Q8" s="24">
        <f>D17</f>
        <v>4</v>
      </c>
      <c r="R8" s="24" t="str">
        <f>+D18</f>
        <v>P</v>
      </c>
      <c r="S8" s="24" t="str">
        <f>D12</f>
        <v>B</v>
      </c>
    </row>
    <row r="9" spans="1:19" ht="147">
      <c r="A9" s="25" t="s">
        <v>38</v>
      </c>
      <c r="B9" s="26" t="s">
        <v>39</v>
      </c>
      <c r="C9" s="27" t="s">
        <v>40</v>
      </c>
      <c r="D9" s="1">
        <v>2</v>
      </c>
      <c r="E9" s="10"/>
      <c r="F9"/>
      <c r="G9"/>
      <c r="H9"/>
      <c r="I9"/>
      <c r="J9"/>
      <c r="K9"/>
      <c r="L9"/>
      <c r="M9"/>
      <c r="N9"/>
      <c r="O9"/>
      <c r="P9"/>
      <c r="Q9"/>
      <c r="R9"/>
      <c r="S9"/>
    </row>
    <row r="10" spans="1:19" s="7" customFormat="1" ht="189">
      <c r="A10" s="28" t="s">
        <v>41</v>
      </c>
      <c r="B10" s="29" t="s">
        <v>42</v>
      </c>
      <c r="C10" s="30" t="s">
        <v>43</v>
      </c>
      <c r="D10" s="3">
        <v>0</v>
      </c>
      <c r="E10" s="12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</row>
    <row r="11" spans="1:19" ht="92.45">
      <c r="A11" s="31" t="s">
        <v>44</v>
      </c>
      <c r="B11" s="18" t="s">
        <v>45</v>
      </c>
      <c r="C11" s="19" t="s">
        <v>46</v>
      </c>
      <c r="D11" s="1">
        <v>3</v>
      </c>
      <c r="E11" s="10"/>
      <c r="F11"/>
      <c r="G11"/>
      <c r="H11"/>
      <c r="I11"/>
      <c r="J11"/>
      <c r="K11"/>
      <c r="L11"/>
      <c r="M11"/>
      <c r="N11"/>
      <c r="O11"/>
      <c r="P11"/>
      <c r="Q11"/>
      <c r="R11"/>
      <c r="S11"/>
    </row>
    <row r="12" spans="1:19" ht="55.5">
      <c r="A12" s="31" t="s">
        <v>47</v>
      </c>
      <c r="B12" s="18" t="s">
        <v>48</v>
      </c>
      <c r="C12" s="19" t="s">
        <v>49</v>
      </c>
      <c r="D12" s="1" t="s">
        <v>50</v>
      </c>
      <c r="E12" s="10"/>
      <c r="F12"/>
      <c r="G12"/>
      <c r="H12"/>
      <c r="I12"/>
      <c r="J12"/>
      <c r="K12"/>
      <c r="L12"/>
      <c r="M12"/>
      <c r="N12"/>
      <c r="O12"/>
      <c r="P12"/>
      <c r="Q12"/>
      <c r="R12"/>
      <c r="S12"/>
    </row>
    <row r="13" spans="1:19" ht="54.75">
      <c r="A13" s="32" t="s">
        <v>51</v>
      </c>
      <c r="B13" s="38"/>
      <c r="C13" s="38"/>
      <c r="D13" s="38"/>
      <c r="E13" s="10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19" ht="36.950000000000003">
      <c r="A14" s="17" t="s">
        <v>52</v>
      </c>
      <c r="B14" s="18" t="s">
        <v>53</v>
      </c>
      <c r="C14" s="19" t="s">
        <v>54</v>
      </c>
      <c r="D14" s="2">
        <v>4</v>
      </c>
      <c r="E14" s="10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19" ht="111">
      <c r="A15" s="17" t="s">
        <v>55</v>
      </c>
      <c r="B15" s="18" t="s">
        <v>56</v>
      </c>
      <c r="C15" s="19" t="s">
        <v>57</v>
      </c>
      <c r="D15" s="2">
        <v>4</v>
      </c>
      <c r="E15" s="10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19" ht="36.950000000000003">
      <c r="A16" s="13" t="s">
        <v>58</v>
      </c>
      <c r="B16" s="21" t="s">
        <v>53</v>
      </c>
      <c r="C16" s="22" t="s">
        <v>20</v>
      </c>
      <c r="D16" s="2">
        <v>2</v>
      </c>
      <c r="E16" s="10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ht="92.45">
      <c r="A17" s="13" t="s">
        <v>59</v>
      </c>
      <c r="B17" s="21" t="s">
        <v>60</v>
      </c>
      <c r="C17" s="22" t="s">
        <v>61</v>
      </c>
      <c r="D17" s="2">
        <v>4</v>
      </c>
      <c r="E17" s="10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ht="36.950000000000003">
      <c r="A18" s="17" t="s">
        <v>62</v>
      </c>
      <c r="B18" s="18" t="s">
        <v>63</v>
      </c>
      <c r="C18" s="19" t="s">
        <v>64</v>
      </c>
      <c r="D18" s="2" t="s">
        <v>65</v>
      </c>
      <c r="E18" s="10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</sheetData>
  <sheetProtection sheet="1" objects="1" scenarios="1"/>
  <mergeCells count="5">
    <mergeCell ref="A1:D1"/>
    <mergeCell ref="B2:C2"/>
    <mergeCell ref="D2:D3"/>
    <mergeCell ref="B3:C3"/>
    <mergeCell ref="B13:D1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65EA9-1517-4408-A190-C7DEF094ADC0}">
  <sheetPr>
    <tabColor rgb="FFFFFF00"/>
  </sheetPr>
  <dimension ref="A1:S18"/>
  <sheetViews>
    <sheetView topLeftCell="D6" zoomScale="50" zoomScaleNormal="50" workbookViewId="0">
      <selection activeCell="J10" sqref="J10"/>
    </sheetView>
  </sheetViews>
  <sheetFormatPr defaultColWidth="11" defaultRowHeight="18.600000000000001"/>
  <cols>
    <col min="1" max="1" width="32.625" style="8" customWidth="1"/>
    <col min="2" max="2" width="82" style="6" customWidth="1"/>
    <col min="3" max="3" width="6.625" style="9" customWidth="1"/>
    <col min="4" max="4" width="11" style="9"/>
    <col min="5" max="5" width="11" style="4"/>
    <col min="6" max="16384" width="11" style="5"/>
  </cols>
  <sheetData>
    <row r="1" spans="1:19" ht="30.95">
      <c r="A1" s="33" t="s">
        <v>0</v>
      </c>
      <c r="B1" s="33"/>
      <c r="C1" s="33"/>
      <c r="D1" s="33"/>
      <c r="E1" s="10" t="s">
        <v>1</v>
      </c>
      <c r="F1">
        <f>(D5+D6)</f>
        <v>2</v>
      </c>
      <c r="G1"/>
      <c r="H1"/>
      <c r="I1"/>
      <c r="J1"/>
      <c r="K1"/>
      <c r="L1"/>
      <c r="M1"/>
      <c r="N1"/>
      <c r="O1"/>
      <c r="P1"/>
      <c r="Q1"/>
      <c r="R1"/>
      <c r="S1"/>
    </row>
    <row r="2" spans="1:19" ht="30.95">
      <c r="A2" s="11" t="s">
        <v>2</v>
      </c>
      <c r="B2" s="34" t="s">
        <v>66</v>
      </c>
      <c r="C2" s="34"/>
      <c r="D2" s="35">
        <f>D5+D6+D7+D8+D9+D10+D11+D14+D15+D16+D17</f>
        <v>21</v>
      </c>
      <c r="E2" s="12" t="s">
        <v>4</v>
      </c>
      <c r="F2">
        <f>D7+D8</f>
        <v>6</v>
      </c>
      <c r="G2"/>
      <c r="H2"/>
      <c r="I2"/>
      <c r="J2"/>
      <c r="K2"/>
      <c r="L2"/>
      <c r="M2"/>
      <c r="N2"/>
      <c r="O2"/>
      <c r="P2"/>
      <c r="Q2"/>
      <c r="R2"/>
      <c r="S2"/>
    </row>
    <row r="3" spans="1:19" ht="26.1" customHeight="1">
      <c r="A3" s="13" t="s">
        <v>5</v>
      </c>
      <c r="B3" s="37" t="s">
        <v>6</v>
      </c>
      <c r="C3" s="37"/>
      <c r="D3" s="36"/>
      <c r="E3" s="12" t="s">
        <v>7</v>
      </c>
      <c r="F3">
        <f>D9</f>
        <v>2</v>
      </c>
      <c r="G3"/>
      <c r="H3"/>
      <c r="I3"/>
      <c r="J3"/>
      <c r="K3"/>
      <c r="L3"/>
      <c r="M3"/>
      <c r="N3"/>
      <c r="O3"/>
      <c r="P3"/>
      <c r="Q3"/>
      <c r="R3"/>
      <c r="S3"/>
    </row>
    <row r="4" spans="1:19" ht="21">
      <c r="A4" s="13" t="s">
        <v>8</v>
      </c>
      <c r="B4" s="14" t="s">
        <v>9</v>
      </c>
      <c r="C4" s="15" t="s">
        <v>10</v>
      </c>
      <c r="D4" s="16" t="s">
        <v>11</v>
      </c>
      <c r="E4" s="10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 spans="1:19" ht="74.099999999999994">
      <c r="A5" s="17" t="s">
        <v>12</v>
      </c>
      <c r="B5" s="18" t="s">
        <v>13</v>
      </c>
      <c r="C5" s="19" t="s">
        <v>14</v>
      </c>
      <c r="D5" s="1">
        <v>1</v>
      </c>
      <c r="E5" s="10"/>
      <c r="F5" s="20"/>
      <c r="G5" s="20"/>
      <c r="H5"/>
      <c r="I5"/>
      <c r="J5"/>
      <c r="K5"/>
      <c r="L5"/>
      <c r="M5"/>
      <c r="N5"/>
      <c r="O5"/>
      <c r="P5"/>
      <c r="Q5"/>
      <c r="R5"/>
      <c r="S5"/>
    </row>
    <row r="6" spans="1:19" ht="177" customHeight="1">
      <c r="A6" s="17" t="s">
        <v>15</v>
      </c>
      <c r="B6" s="18" t="s">
        <v>16</v>
      </c>
      <c r="C6" s="19" t="s">
        <v>17</v>
      </c>
      <c r="D6" s="1">
        <v>1</v>
      </c>
      <c r="E6" s="10"/>
      <c r="F6" s="20"/>
      <c r="G6" s="20"/>
      <c r="H6"/>
      <c r="I6"/>
      <c r="J6"/>
      <c r="K6"/>
      <c r="L6"/>
      <c r="M6"/>
      <c r="N6"/>
      <c r="O6"/>
      <c r="P6"/>
      <c r="Q6"/>
      <c r="R6"/>
      <c r="S6"/>
    </row>
    <row r="7" spans="1:19" ht="144.94999999999999" customHeight="1">
      <c r="A7" s="13" t="s">
        <v>18</v>
      </c>
      <c r="B7" s="21" t="s">
        <v>19</v>
      </c>
      <c r="C7" s="22" t="s">
        <v>20</v>
      </c>
      <c r="D7" s="1">
        <v>2</v>
      </c>
      <c r="E7" s="10"/>
      <c r="F7" s="20" t="s">
        <v>21</v>
      </c>
      <c r="G7" s="20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 t="s">
        <v>32</v>
      </c>
      <c r="R7" t="s">
        <v>33</v>
      </c>
      <c r="S7" t="s">
        <v>34</v>
      </c>
    </row>
    <row r="8" spans="1:19" ht="156.6">
      <c r="A8" s="13" t="s">
        <v>35</v>
      </c>
      <c r="B8" s="21" t="s">
        <v>36</v>
      </c>
      <c r="C8" s="22" t="s">
        <v>37</v>
      </c>
      <c r="D8" s="1">
        <v>4</v>
      </c>
      <c r="E8" s="10"/>
      <c r="F8" s="23">
        <f>+D2</f>
        <v>21</v>
      </c>
      <c r="G8" s="23">
        <f>D5</f>
        <v>1</v>
      </c>
      <c r="H8" s="24">
        <f>D6</f>
        <v>1</v>
      </c>
      <c r="I8" s="24">
        <f>D7</f>
        <v>2</v>
      </c>
      <c r="J8" s="24">
        <f>D8</f>
        <v>4</v>
      </c>
      <c r="K8" s="24">
        <f>D9</f>
        <v>2</v>
      </c>
      <c r="L8" s="24">
        <f>D10</f>
        <v>0</v>
      </c>
      <c r="M8" s="24">
        <f>D11</f>
        <v>2</v>
      </c>
      <c r="N8" s="24">
        <f>D14</f>
        <v>0</v>
      </c>
      <c r="O8" s="24">
        <f>D15</f>
        <v>4</v>
      </c>
      <c r="P8" s="24">
        <f>D16</f>
        <v>2</v>
      </c>
      <c r="Q8" s="24">
        <f>D17</f>
        <v>3</v>
      </c>
      <c r="R8" s="24" t="str">
        <f>+D18</f>
        <v>P</v>
      </c>
      <c r="S8" s="24" t="str">
        <f>D12</f>
        <v>B</v>
      </c>
    </row>
    <row r="9" spans="1:19" ht="147">
      <c r="A9" s="25" t="s">
        <v>38</v>
      </c>
      <c r="B9" s="26" t="s">
        <v>39</v>
      </c>
      <c r="C9" s="27" t="s">
        <v>40</v>
      </c>
      <c r="D9" s="1">
        <v>2</v>
      </c>
      <c r="E9" s="10"/>
      <c r="F9"/>
      <c r="G9"/>
      <c r="H9"/>
      <c r="I9"/>
      <c r="J9"/>
      <c r="K9"/>
      <c r="L9"/>
      <c r="M9"/>
      <c r="N9"/>
      <c r="O9"/>
      <c r="P9"/>
      <c r="Q9"/>
      <c r="R9"/>
      <c r="S9"/>
    </row>
    <row r="10" spans="1:19" s="7" customFormat="1" ht="189">
      <c r="A10" s="28" t="s">
        <v>41</v>
      </c>
      <c r="B10" s="29" t="s">
        <v>42</v>
      </c>
      <c r="C10" s="30" t="s">
        <v>43</v>
      </c>
      <c r="D10" s="3">
        <v>0</v>
      </c>
      <c r="E10" s="12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</row>
    <row r="11" spans="1:19" ht="92.45">
      <c r="A11" s="31" t="s">
        <v>44</v>
      </c>
      <c r="B11" s="18" t="s">
        <v>45</v>
      </c>
      <c r="C11" s="19" t="s">
        <v>46</v>
      </c>
      <c r="D11" s="1">
        <v>2</v>
      </c>
      <c r="E11" s="10"/>
      <c r="F11"/>
      <c r="G11"/>
      <c r="H11"/>
      <c r="I11"/>
      <c r="J11"/>
      <c r="K11"/>
      <c r="L11"/>
      <c r="M11"/>
      <c r="N11"/>
      <c r="O11"/>
      <c r="P11"/>
      <c r="Q11"/>
      <c r="R11"/>
      <c r="S11"/>
    </row>
    <row r="12" spans="1:19" ht="55.5">
      <c r="A12" s="31" t="s">
        <v>47</v>
      </c>
      <c r="B12" s="18" t="s">
        <v>48</v>
      </c>
      <c r="C12" s="19" t="s">
        <v>49</v>
      </c>
      <c r="D12" s="1" t="s">
        <v>50</v>
      </c>
      <c r="E12" s="10"/>
      <c r="F12"/>
      <c r="G12"/>
      <c r="H12"/>
      <c r="I12"/>
      <c r="J12"/>
      <c r="K12"/>
      <c r="L12"/>
      <c r="M12"/>
      <c r="N12"/>
      <c r="O12"/>
      <c r="P12"/>
      <c r="Q12"/>
      <c r="R12"/>
      <c r="S12"/>
    </row>
    <row r="13" spans="1:19" ht="45">
      <c r="A13" s="32" t="s">
        <v>51</v>
      </c>
      <c r="B13" s="38"/>
      <c r="C13" s="38"/>
      <c r="D13" s="38"/>
      <c r="E13" s="10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19" ht="36.950000000000003">
      <c r="A14" s="17" t="s">
        <v>52</v>
      </c>
      <c r="B14" s="18" t="s">
        <v>53</v>
      </c>
      <c r="C14" s="19" t="s">
        <v>54</v>
      </c>
      <c r="D14" s="2">
        <v>0</v>
      </c>
      <c r="E14" s="10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19" ht="111">
      <c r="A15" s="17" t="s">
        <v>55</v>
      </c>
      <c r="B15" s="18" t="s">
        <v>56</v>
      </c>
      <c r="C15" s="19" t="s">
        <v>57</v>
      </c>
      <c r="D15" s="2">
        <v>4</v>
      </c>
      <c r="E15" s="10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19" ht="36.950000000000003">
      <c r="A16" s="13" t="s">
        <v>58</v>
      </c>
      <c r="B16" s="21" t="s">
        <v>53</v>
      </c>
      <c r="C16" s="22" t="s">
        <v>20</v>
      </c>
      <c r="D16" s="2">
        <v>2</v>
      </c>
      <c r="E16" s="10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ht="92.45">
      <c r="A17" s="13" t="s">
        <v>59</v>
      </c>
      <c r="B17" s="21" t="s">
        <v>60</v>
      </c>
      <c r="C17" s="22" t="s">
        <v>61</v>
      </c>
      <c r="D17" s="2">
        <v>3</v>
      </c>
      <c r="E17" s="10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ht="36.950000000000003">
      <c r="A18" s="17" t="s">
        <v>62</v>
      </c>
      <c r="B18" s="18" t="s">
        <v>63</v>
      </c>
      <c r="C18" s="19" t="s">
        <v>64</v>
      </c>
      <c r="D18" s="2" t="s">
        <v>65</v>
      </c>
      <c r="E18" s="10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</sheetData>
  <sheetProtection sheet="1" objects="1" scenarios="1"/>
  <mergeCells count="5">
    <mergeCell ref="A1:D1"/>
    <mergeCell ref="B2:C2"/>
    <mergeCell ref="D2:D3"/>
    <mergeCell ref="B3:C3"/>
    <mergeCell ref="B13:D1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62C8B-CC00-450C-B958-51452927D25F}">
  <sheetPr>
    <tabColor rgb="FFFFFF00"/>
  </sheetPr>
  <dimension ref="A1:S18"/>
  <sheetViews>
    <sheetView topLeftCell="E6" zoomScale="85" zoomScaleNormal="85" workbookViewId="0">
      <selection activeCell="F8" sqref="F8:S8"/>
    </sheetView>
  </sheetViews>
  <sheetFormatPr defaultColWidth="11" defaultRowHeight="18.600000000000001"/>
  <cols>
    <col min="1" max="1" width="32.625" style="8" customWidth="1"/>
    <col min="2" max="2" width="82" style="6" customWidth="1"/>
    <col min="3" max="3" width="6.625" style="9" customWidth="1"/>
    <col min="4" max="4" width="11" style="9"/>
    <col min="5" max="5" width="11" style="4"/>
    <col min="6" max="16384" width="11" style="5"/>
  </cols>
  <sheetData>
    <row r="1" spans="1:19" ht="30.95">
      <c r="A1" s="33" t="s">
        <v>0</v>
      </c>
      <c r="B1" s="33"/>
      <c r="C1" s="33"/>
      <c r="D1" s="33"/>
      <c r="E1" s="10" t="s">
        <v>1</v>
      </c>
      <c r="F1">
        <f>(D5+D6)</f>
        <v>3</v>
      </c>
      <c r="G1"/>
      <c r="H1"/>
      <c r="I1"/>
      <c r="J1"/>
      <c r="K1"/>
      <c r="L1"/>
      <c r="M1"/>
      <c r="N1"/>
      <c r="O1"/>
      <c r="P1"/>
      <c r="Q1"/>
      <c r="R1"/>
      <c r="S1"/>
    </row>
    <row r="2" spans="1:19" ht="30.95">
      <c r="A2" s="11" t="s">
        <v>2</v>
      </c>
      <c r="B2" s="34" t="s">
        <v>67</v>
      </c>
      <c r="C2" s="34"/>
      <c r="D2" s="35">
        <f>D5+D6+D7+D8+D9+D10+D11+D14+D15+D16+D17</f>
        <v>11.5</v>
      </c>
      <c r="E2" s="12" t="s">
        <v>4</v>
      </c>
      <c r="F2">
        <f>D7+D8</f>
        <v>2</v>
      </c>
      <c r="G2"/>
      <c r="H2"/>
      <c r="I2"/>
      <c r="J2"/>
      <c r="K2"/>
      <c r="L2"/>
      <c r="M2"/>
      <c r="N2"/>
      <c r="O2"/>
      <c r="P2"/>
      <c r="Q2"/>
      <c r="R2"/>
      <c r="S2"/>
    </row>
    <row r="3" spans="1:19" ht="26.1" customHeight="1">
      <c r="A3" s="13" t="s">
        <v>5</v>
      </c>
      <c r="B3" s="37" t="s">
        <v>6</v>
      </c>
      <c r="C3" s="37"/>
      <c r="D3" s="36"/>
      <c r="E3" s="12" t="s">
        <v>7</v>
      </c>
      <c r="F3">
        <f>D9</f>
        <v>0.5</v>
      </c>
      <c r="G3"/>
      <c r="H3"/>
      <c r="I3"/>
      <c r="J3"/>
      <c r="K3"/>
      <c r="L3"/>
      <c r="M3"/>
      <c r="N3"/>
      <c r="O3"/>
      <c r="P3"/>
      <c r="Q3"/>
      <c r="R3"/>
      <c r="S3"/>
    </row>
    <row r="4" spans="1:19" ht="21">
      <c r="A4" s="13" t="s">
        <v>8</v>
      </c>
      <c r="B4" s="14" t="s">
        <v>9</v>
      </c>
      <c r="C4" s="15" t="s">
        <v>10</v>
      </c>
      <c r="D4" s="16" t="s">
        <v>11</v>
      </c>
      <c r="E4" s="10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 spans="1:19" ht="74.099999999999994">
      <c r="A5" s="17" t="s">
        <v>12</v>
      </c>
      <c r="B5" s="18" t="s">
        <v>13</v>
      </c>
      <c r="C5" s="19" t="s">
        <v>14</v>
      </c>
      <c r="D5" s="1">
        <v>1</v>
      </c>
      <c r="E5" s="10"/>
      <c r="F5" s="20"/>
      <c r="G5" s="20"/>
      <c r="H5"/>
      <c r="I5"/>
      <c r="J5"/>
      <c r="K5"/>
      <c r="L5"/>
      <c r="M5"/>
      <c r="N5"/>
      <c r="O5"/>
      <c r="P5"/>
      <c r="Q5"/>
      <c r="R5"/>
      <c r="S5"/>
    </row>
    <row r="6" spans="1:19" ht="177" customHeight="1">
      <c r="A6" s="17" t="s">
        <v>15</v>
      </c>
      <c r="B6" s="18" t="s">
        <v>16</v>
      </c>
      <c r="C6" s="19" t="s">
        <v>17</v>
      </c>
      <c r="D6" s="1">
        <v>2</v>
      </c>
      <c r="E6" s="10"/>
      <c r="F6" s="20"/>
      <c r="G6" s="20"/>
      <c r="H6"/>
      <c r="I6"/>
      <c r="J6"/>
      <c r="K6"/>
      <c r="L6"/>
      <c r="M6"/>
      <c r="N6"/>
      <c r="O6"/>
      <c r="P6"/>
      <c r="Q6"/>
      <c r="R6"/>
      <c r="S6"/>
    </row>
    <row r="7" spans="1:19" ht="144.94999999999999" customHeight="1">
      <c r="A7" s="13" t="s">
        <v>18</v>
      </c>
      <c r="B7" s="21" t="s">
        <v>19</v>
      </c>
      <c r="C7" s="22" t="s">
        <v>20</v>
      </c>
      <c r="D7" s="1">
        <v>0</v>
      </c>
      <c r="E7" s="10"/>
      <c r="F7" s="20" t="s">
        <v>21</v>
      </c>
      <c r="G7" s="20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 t="s">
        <v>32</v>
      </c>
      <c r="R7" t="s">
        <v>33</v>
      </c>
      <c r="S7" t="s">
        <v>34</v>
      </c>
    </row>
    <row r="8" spans="1:19" ht="156.6">
      <c r="A8" s="13" t="s">
        <v>35</v>
      </c>
      <c r="B8" s="21" t="s">
        <v>36</v>
      </c>
      <c r="C8" s="22" t="s">
        <v>37</v>
      </c>
      <c r="D8" s="1">
        <v>2</v>
      </c>
      <c r="E8" s="10"/>
      <c r="F8" s="23">
        <f>+D2</f>
        <v>11.5</v>
      </c>
      <c r="G8" s="23">
        <f>D5</f>
        <v>1</v>
      </c>
      <c r="H8" s="24">
        <f>D6</f>
        <v>2</v>
      </c>
      <c r="I8" s="24">
        <f>D7</f>
        <v>0</v>
      </c>
      <c r="J8" s="24">
        <f>D8</f>
        <v>2</v>
      </c>
      <c r="K8" s="24">
        <f>D9</f>
        <v>0.5</v>
      </c>
      <c r="L8" s="24">
        <f>D10</f>
        <v>0</v>
      </c>
      <c r="M8" s="24">
        <f>D11</f>
        <v>1</v>
      </c>
      <c r="N8" s="24">
        <f>D14</f>
        <v>0</v>
      </c>
      <c r="O8" s="24">
        <f>D15</f>
        <v>1</v>
      </c>
      <c r="P8" s="24">
        <f>D16</f>
        <v>0</v>
      </c>
      <c r="Q8" s="24">
        <f>D17</f>
        <v>4</v>
      </c>
      <c r="R8" s="24" t="str">
        <f>+D18</f>
        <v>P</v>
      </c>
      <c r="S8" s="24" t="str">
        <f>D12</f>
        <v>B</v>
      </c>
    </row>
    <row r="9" spans="1:19" ht="147">
      <c r="A9" s="25" t="s">
        <v>38</v>
      </c>
      <c r="B9" s="26" t="s">
        <v>39</v>
      </c>
      <c r="C9" s="27" t="s">
        <v>40</v>
      </c>
      <c r="D9" s="1">
        <v>0.5</v>
      </c>
      <c r="E9" s="10"/>
      <c r="F9"/>
      <c r="G9"/>
      <c r="H9"/>
      <c r="I9"/>
      <c r="J9"/>
      <c r="K9"/>
      <c r="L9"/>
      <c r="M9"/>
      <c r="N9"/>
      <c r="O9"/>
      <c r="P9"/>
      <c r="Q9"/>
      <c r="R9"/>
      <c r="S9"/>
    </row>
    <row r="10" spans="1:19" s="7" customFormat="1" ht="189">
      <c r="A10" s="28" t="s">
        <v>41</v>
      </c>
      <c r="B10" s="29" t="s">
        <v>42</v>
      </c>
      <c r="C10" s="30" t="s">
        <v>43</v>
      </c>
      <c r="D10" s="3">
        <v>0</v>
      </c>
      <c r="E10" s="12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</row>
    <row r="11" spans="1:19" ht="92.45">
      <c r="A11" s="31" t="s">
        <v>44</v>
      </c>
      <c r="B11" s="18" t="s">
        <v>45</v>
      </c>
      <c r="C11" s="19" t="s">
        <v>46</v>
      </c>
      <c r="D11" s="1">
        <v>1</v>
      </c>
      <c r="E11" s="10"/>
      <c r="F11"/>
      <c r="G11"/>
      <c r="H11"/>
      <c r="I11"/>
      <c r="J11"/>
      <c r="K11"/>
      <c r="L11"/>
      <c r="M11"/>
      <c r="N11"/>
      <c r="O11"/>
      <c r="P11"/>
      <c r="Q11"/>
      <c r="R11"/>
      <c r="S11"/>
    </row>
    <row r="12" spans="1:19" ht="55.5">
      <c r="A12" s="31" t="s">
        <v>47</v>
      </c>
      <c r="B12" s="18" t="s">
        <v>48</v>
      </c>
      <c r="C12" s="19" t="s">
        <v>49</v>
      </c>
      <c r="D12" s="1" t="s">
        <v>50</v>
      </c>
      <c r="E12" s="10"/>
      <c r="F12"/>
      <c r="G12"/>
      <c r="H12"/>
      <c r="I12"/>
      <c r="J12"/>
      <c r="K12"/>
      <c r="L12"/>
      <c r="M12"/>
      <c r="N12"/>
      <c r="O12"/>
      <c r="P12"/>
      <c r="Q12"/>
      <c r="R12"/>
      <c r="S12"/>
    </row>
    <row r="13" spans="1:19" ht="45">
      <c r="A13" s="32" t="s">
        <v>51</v>
      </c>
      <c r="B13" s="38"/>
      <c r="C13" s="38"/>
      <c r="D13" s="38"/>
      <c r="E13" s="10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19" ht="36.950000000000003">
      <c r="A14" s="17" t="s">
        <v>52</v>
      </c>
      <c r="B14" s="18" t="s">
        <v>53</v>
      </c>
      <c r="C14" s="19" t="s">
        <v>54</v>
      </c>
      <c r="D14" s="2">
        <v>0</v>
      </c>
      <c r="E14" s="10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19" ht="111">
      <c r="A15" s="17" t="s">
        <v>55</v>
      </c>
      <c r="B15" s="18" t="s">
        <v>56</v>
      </c>
      <c r="C15" s="19" t="s">
        <v>57</v>
      </c>
      <c r="D15" s="2">
        <v>1</v>
      </c>
      <c r="E15" s="10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19" ht="36.950000000000003">
      <c r="A16" s="13" t="s">
        <v>58</v>
      </c>
      <c r="B16" s="21" t="s">
        <v>53</v>
      </c>
      <c r="C16" s="22" t="s">
        <v>20</v>
      </c>
      <c r="D16" s="2">
        <v>0</v>
      </c>
      <c r="E16" s="10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ht="92.45">
      <c r="A17" s="13" t="s">
        <v>59</v>
      </c>
      <c r="B17" s="21" t="s">
        <v>60</v>
      </c>
      <c r="C17" s="22" t="s">
        <v>61</v>
      </c>
      <c r="D17" s="2">
        <v>4</v>
      </c>
      <c r="E17" s="10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ht="36.950000000000003">
      <c r="A18" s="17" t="s">
        <v>62</v>
      </c>
      <c r="B18" s="18" t="s">
        <v>63</v>
      </c>
      <c r="C18" s="19" t="s">
        <v>64</v>
      </c>
      <c r="D18" s="2" t="s">
        <v>65</v>
      </c>
      <c r="E18" s="10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</sheetData>
  <sheetProtection sheet="1" objects="1" scenarios="1"/>
  <mergeCells count="5">
    <mergeCell ref="A1:D1"/>
    <mergeCell ref="B2:C2"/>
    <mergeCell ref="D2:D3"/>
    <mergeCell ref="B3:C3"/>
    <mergeCell ref="B13:D1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1ADAE-CC4A-4B28-B10B-4DEE1B33FD8F}">
  <sheetPr>
    <tabColor rgb="FFFFFF00"/>
  </sheetPr>
  <dimension ref="A1:S18"/>
  <sheetViews>
    <sheetView topLeftCell="A8" zoomScale="60" zoomScaleNormal="60" workbookViewId="0">
      <selection activeCell="R6" sqref="R6"/>
    </sheetView>
  </sheetViews>
  <sheetFormatPr defaultColWidth="11" defaultRowHeight="18.600000000000001"/>
  <cols>
    <col min="1" max="1" width="32.625" style="8" customWidth="1"/>
    <col min="2" max="2" width="82" style="6" customWidth="1"/>
    <col min="3" max="3" width="6.625" style="9" customWidth="1"/>
    <col min="4" max="4" width="11" style="9"/>
    <col min="5" max="5" width="11" style="4"/>
    <col min="6" max="16384" width="11" style="5"/>
  </cols>
  <sheetData>
    <row r="1" spans="1:19" ht="30.95">
      <c r="A1" s="33" t="s">
        <v>0</v>
      </c>
      <c r="B1" s="33"/>
      <c r="C1" s="33"/>
      <c r="D1" s="33"/>
      <c r="E1" s="10" t="s">
        <v>1</v>
      </c>
      <c r="F1">
        <f>(D5+D6)</f>
        <v>4</v>
      </c>
      <c r="G1"/>
      <c r="H1"/>
      <c r="I1"/>
      <c r="J1"/>
      <c r="K1"/>
      <c r="L1"/>
      <c r="M1"/>
      <c r="N1"/>
      <c r="O1"/>
      <c r="P1"/>
      <c r="Q1"/>
      <c r="R1"/>
      <c r="S1"/>
    </row>
    <row r="2" spans="1:19" ht="30.95">
      <c r="A2" s="11" t="s">
        <v>2</v>
      </c>
      <c r="B2" s="34" t="s">
        <v>68</v>
      </c>
      <c r="C2" s="34"/>
      <c r="D2" s="35">
        <f>D5+D6+D7+D8+D9+D10+D11+D14+D15+D16+D17</f>
        <v>18</v>
      </c>
      <c r="E2" s="12" t="s">
        <v>4</v>
      </c>
      <c r="F2">
        <f>D7+D8</f>
        <v>4</v>
      </c>
      <c r="G2"/>
      <c r="H2"/>
      <c r="I2"/>
      <c r="J2"/>
      <c r="K2"/>
      <c r="L2"/>
      <c r="M2"/>
      <c r="N2"/>
      <c r="O2"/>
      <c r="P2"/>
      <c r="Q2"/>
      <c r="R2"/>
      <c r="S2"/>
    </row>
    <row r="3" spans="1:19" ht="26.1" customHeight="1">
      <c r="A3" s="13" t="s">
        <v>5</v>
      </c>
      <c r="B3" s="37" t="s">
        <v>6</v>
      </c>
      <c r="C3" s="37"/>
      <c r="D3" s="36"/>
      <c r="E3" s="12" t="s">
        <v>7</v>
      </c>
      <c r="F3">
        <f>D9</f>
        <v>2</v>
      </c>
      <c r="G3"/>
      <c r="H3"/>
      <c r="I3"/>
      <c r="J3"/>
      <c r="K3"/>
      <c r="L3"/>
      <c r="M3"/>
      <c r="N3"/>
      <c r="O3"/>
      <c r="P3"/>
      <c r="Q3"/>
      <c r="R3"/>
      <c r="S3"/>
    </row>
    <row r="4" spans="1:19" ht="21">
      <c r="A4" s="13" t="s">
        <v>8</v>
      </c>
      <c r="B4" s="14" t="s">
        <v>9</v>
      </c>
      <c r="C4" s="15" t="s">
        <v>10</v>
      </c>
      <c r="D4" s="16" t="s">
        <v>11</v>
      </c>
      <c r="E4" s="10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 spans="1:19" ht="74.099999999999994">
      <c r="A5" s="17" t="s">
        <v>12</v>
      </c>
      <c r="B5" s="18" t="s">
        <v>13</v>
      </c>
      <c r="C5" s="19" t="s">
        <v>14</v>
      </c>
      <c r="D5" s="1">
        <v>2</v>
      </c>
      <c r="E5" s="10"/>
      <c r="F5" s="20"/>
      <c r="G5" s="20"/>
      <c r="H5"/>
      <c r="I5"/>
      <c r="J5"/>
      <c r="K5"/>
      <c r="L5"/>
      <c r="M5"/>
      <c r="N5"/>
      <c r="O5"/>
      <c r="P5"/>
      <c r="Q5"/>
      <c r="R5"/>
      <c r="S5"/>
    </row>
    <row r="6" spans="1:19" ht="177" customHeight="1">
      <c r="A6" s="17" t="s">
        <v>15</v>
      </c>
      <c r="B6" s="18" t="s">
        <v>16</v>
      </c>
      <c r="C6" s="19" t="s">
        <v>17</v>
      </c>
      <c r="D6" s="1">
        <v>2</v>
      </c>
      <c r="E6" s="10"/>
      <c r="F6" s="20"/>
      <c r="G6" s="20"/>
      <c r="H6"/>
      <c r="I6"/>
      <c r="J6"/>
      <c r="K6"/>
      <c r="L6"/>
      <c r="M6"/>
      <c r="N6"/>
      <c r="O6"/>
      <c r="P6"/>
      <c r="Q6"/>
      <c r="R6"/>
      <c r="S6"/>
    </row>
    <row r="7" spans="1:19" ht="144.94999999999999" customHeight="1">
      <c r="A7" s="13" t="s">
        <v>18</v>
      </c>
      <c r="B7" s="21" t="s">
        <v>19</v>
      </c>
      <c r="C7" s="22" t="s">
        <v>20</v>
      </c>
      <c r="D7" s="1">
        <v>0</v>
      </c>
      <c r="E7" s="10"/>
      <c r="F7" s="20" t="s">
        <v>21</v>
      </c>
      <c r="G7" s="20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 t="s">
        <v>32</v>
      </c>
      <c r="R7" t="s">
        <v>33</v>
      </c>
      <c r="S7" t="s">
        <v>34</v>
      </c>
    </row>
    <row r="8" spans="1:19" ht="156.6">
      <c r="A8" s="13" t="s">
        <v>35</v>
      </c>
      <c r="B8" s="21" t="s">
        <v>36</v>
      </c>
      <c r="C8" s="22" t="s">
        <v>37</v>
      </c>
      <c r="D8" s="1">
        <v>4</v>
      </c>
      <c r="E8" s="10"/>
      <c r="F8" s="23">
        <f>+D2</f>
        <v>18</v>
      </c>
      <c r="G8" s="23">
        <f>D5</f>
        <v>2</v>
      </c>
      <c r="H8" s="24">
        <f>D6</f>
        <v>2</v>
      </c>
      <c r="I8" s="24">
        <f>D7</f>
        <v>0</v>
      </c>
      <c r="J8" s="24">
        <f>D8</f>
        <v>4</v>
      </c>
      <c r="K8" s="24">
        <f>D9</f>
        <v>2</v>
      </c>
      <c r="L8" s="24">
        <f>D10</f>
        <v>0</v>
      </c>
      <c r="M8" s="24">
        <f>D11</f>
        <v>1</v>
      </c>
      <c r="N8" s="24">
        <f>D14</f>
        <v>0</v>
      </c>
      <c r="O8" s="24">
        <f>D15</f>
        <v>3</v>
      </c>
      <c r="P8" s="24">
        <f>D16</f>
        <v>0</v>
      </c>
      <c r="Q8" s="24">
        <f>D17</f>
        <v>4</v>
      </c>
      <c r="R8" s="24" t="str">
        <f>+D18</f>
        <v>P</v>
      </c>
      <c r="S8" s="24" t="str">
        <f>D12</f>
        <v>B</v>
      </c>
    </row>
    <row r="9" spans="1:19" ht="147">
      <c r="A9" s="25" t="s">
        <v>38</v>
      </c>
      <c r="B9" s="26" t="s">
        <v>39</v>
      </c>
      <c r="C9" s="27" t="s">
        <v>40</v>
      </c>
      <c r="D9" s="1">
        <v>2</v>
      </c>
      <c r="E9" s="10"/>
      <c r="F9"/>
      <c r="G9"/>
      <c r="H9"/>
      <c r="I9"/>
      <c r="J9"/>
      <c r="K9"/>
      <c r="L9"/>
      <c r="M9"/>
      <c r="N9"/>
      <c r="O9"/>
      <c r="P9"/>
      <c r="Q9"/>
      <c r="R9"/>
      <c r="S9"/>
    </row>
    <row r="10" spans="1:19" s="7" customFormat="1" ht="189">
      <c r="A10" s="28" t="s">
        <v>41</v>
      </c>
      <c r="B10" s="29" t="s">
        <v>42</v>
      </c>
      <c r="C10" s="30" t="s">
        <v>43</v>
      </c>
      <c r="D10" s="3">
        <v>0</v>
      </c>
      <c r="E10" s="12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</row>
    <row r="11" spans="1:19" ht="92.45">
      <c r="A11" s="31" t="s">
        <v>44</v>
      </c>
      <c r="B11" s="18" t="s">
        <v>45</v>
      </c>
      <c r="C11" s="19" t="s">
        <v>46</v>
      </c>
      <c r="D11" s="1">
        <v>1</v>
      </c>
      <c r="E11" s="10"/>
      <c r="F11"/>
      <c r="G11"/>
      <c r="H11"/>
      <c r="I11"/>
      <c r="J11"/>
      <c r="K11"/>
      <c r="L11"/>
      <c r="M11"/>
      <c r="N11"/>
      <c r="O11"/>
      <c r="P11"/>
      <c r="Q11"/>
      <c r="R11"/>
      <c r="S11"/>
    </row>
    <row r="12" spans="1:19" ht="55.5">
      <c r="A12" s="31" t="s">
        <v>47</v>
      </c>
      <c r="B12" s="18" t="s">
        <v>48</v>
      </c>
      <c r="C12" s="19" t="s">
        <v>49</v>
      </c>
      <c r="D12" s="1" t="s">
        <v>50</v>
      </c>
      <c r="E12" s="10"/>
      <c r="F12"/>
      <c r="G12"/>
      <c r="H12"/>
      <c r="I12"/>
      <c r="J12"/>
      <c r="K12"/>
      <c r="L12"/>
      <c r="M12"/>
      <c r="N12"/>
      <c r="O12"/>
      <c r="P12"/>
      <c r="Q12"/>
      <c r="R12"/>
      <c r="S12"/>
    </row>
    <row r="13" spans="1:19" ht="45">
      <c r="A13" s="32" t="s">
        <v>51</v>
      </c>
      <c r="B13" s="38"/>
      <c r="C13" s="38"/>
      <c r="D13" s="38"/>
      <c r="E13" s="10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19" ht="36.950000000000003">
      <c r="A14" s="17" t="s">
        <v>52</v>
      </c>
      <c r="B14" s="18" t="s">
        <v>53</v>
      </c>
      <c r="C14" s="19" t="s">
        <v>54</v>
      </c>
      <c r="D14" s="2">
        <v>0</v>
      </c>
      <c r="E14" s="10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19" ht="111">
      <c r="A15" s="17" t="s">
        <v>55</v>
      </c>
      <c r="B15" s="18" t="s">
        <v>56</v>
      </c>
      <c r="C15" s="19" t="s">
        <v>57</v>
      </c>
      <c r="D15" s="2">
        <v>3</v>
      </c>
      <c r="E15" s="10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19" ht="36.950000000000003">
      <c r="A16" s="13" t="s">
        <v>58</v>
      </c>
      <c r="B16" s="21" t="s">
        <v>53</v>
      </c>
      <c r="C16" s="22" t="s">
        <v>20</v>
      </c>
      <c r="D16" s="2">
        <v>0</v>
      </c>
      <c r="E16" s="10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ht="92.45">
      <c r="A17" s="13" t="s">
        <v>59</v>
      </c>
      <c r="B17" s="21" t="s">
        <v>60</v>
      </c>
      <c r="C17" s="22" t="s">
        <v>61</v>
      </c>
      <c r="D17" s="2">
        <v>4</v>
      </c>
      <c r="E17" s="10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ht="36.950000000000003">
      <c r="A18" s="17" t="s">
        <v>62</v>
      </c>
      <c r="B18" s="18" t="s">
        <v>63</v>
      </c>
      <c r="C18" s="19" t="s">
        <v>64</v>
      </c>
      <c r="D18" s="2" t="s">
        <v>65</v>
      </c>
      <c r="E18" s="10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</sheetData>
  <sheetProtection sheet="1" objects="1" scenarios="1"/>
  <mergeCells count="5">
    <mergeCell ref="A1:D1"/>
    <mergeCell ref="B2:C2"/>
    <mergeCell ref="D2:D3"/>
    <mergeCell ref="B3:C3"/>
    <mergeCell ref="B13:D13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735EE-9BD6-4A54-AD6A-B428F32CEA0A}">
  <sheetPr>
    <tabColor rgb="FFFFFF00"/>
  </sheetPr>
  <dimension ref="A1:S18"/>
  <sheetViews>
    <sheetView topLeftCell="D6" zoomScale="70" zoomScaleNormal="70" workbookViewId="0">
      <selection activeCell="I9" sqref="I9"/>
    </sheetView>
  </sheetViews>
  <sheetFormatPr defaultColWidth="11" defaultRowHeight="18.600000000000001"/>
  <cols>
    <col min="1" max="1" width="32.625" style="8" customWidth="1"/>
    <col min="2" max="2" width="82" style="6" customWidth="1"/>
    <col min="3" max="3" width="6.625" style="9" customWidth="1"/>
    <col min="4" max="4" width="11" style="9"/>
    <col min="5" max="5" width="11" style="4"/>
    <col min="6" max="16384" width="11" style="5"/>
  </cols>
  <sheetData>
    <row r="1" spans="1:19" ht="30.95">
      <c r="A1" s="33" t="s">
        <v>0</v>
      </c>
      <c r="B1" s="33"/>
      <c r="C1" s="33"/>
      <c r="D1" s="33"/>
      <c r="E1" s="10" t="s">
        <v>1</v>
      </c>
      <c r="F1">
        <f>(D5+D6)</f>
        <v>2</v>
      </c>
      <c r="G1"/>
      <c r="H1"/>
      <c r="I1"/>
      <c r="J1"/>
      <c r="K1"/>
      <c r="L1"/>
      <c r="M1"/>
      <c r="N1"/>
      <c r="O1"/>
      <c r="P1"/>
      <c r="Q1"/>
      <c r="R1"/>
      <c r="S1"/>
    </row>
    <row r="2" spans="1:19" ht="30.95">
      <c r="A2" s="11" t="s">
        <v>2</v>
      </c>
      <c r="B2" s="34" t="s">
        <v>69</v>
      </c>
      <c r="C2" s="34"/>
      <c r="D2" s="35">
        <f>D5+D6+D7+D8+D9+D10+D11+D14+D15+D16+D17</f>
        <v>22</v>
      </c>
      <c r="E2" s="12" t="s">
        <v>4</v>
      </c>
      <c r="F2">
        <f>D7+D8</f>
        <v>4</v>
      </c>
      <c r="G2"/>
      <c r="H2"/>
      <c r="I2"/>
      <c r="J2"/>
      <c r="K2"/>
      <c r="L2"/>
      <c r="M2"/>
      <c r="N2"/>
      <c r="O2"/>
      <c r="P2"/>
      <c r="Q2"/>
      <c r="R2"/>
      <c r="S2"/>
    </row>
    <row r="3" spans="1:19" ht="26.1" customHeight="1">
      <c r="A3" s="13" t="s">
        <v>5</v>
      </c>
      <c r="B3" s="37" t="s">
        <v>6</v>
      </c>
      <c r="C3" s="37"/>
      <c r="D3" s="36"/>
      <c r="E3" s="12" t="s">
        <v>7</v>
      </c>
      <c r="F3">
        <f>D9</f>
        <v>4</v>
      </c>
      <c r="G3"/>
      <c r="H3"/>
      <c r="I3"/>
      <c r="J3"/>
      <c r="K3"/>
      <c r="L3"/>
      <c r="M3"/>
      <c r="N3"/>
      <c r="O3"/>
      <c r="P3"/>
      <c r="Q3"/>
      <c r="R3"/>
      <c r="S3"/>
    </row>
    <row r="4" spans="1:19" ht="21">
      <c r="A4" s="13" t="s">
        <v>8</v>
      </c>
      <c r="B4" s="14" t="s">
        <v>9</v>
      </c>
      <c r="C4" s="15" t="s">
        <v>10</v>
      </c>
      <c r="D4" s="16" t="s">
        <v>11</v>
      </c>
      <c r="E4" s="10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 spans="1:19" ht="74.099999999999994">
      <c r="A5" s="17" t="s">
        <v>12</v>
      </c>
      <c r="B5" s="18" t="s">
        <v>13</v>
      </c>
      <c r="C5" s="19" t="s">
        <v>14</v>
      </c>
      <c r="D5" s="1">
        <v>1</v>
      </c>
      <c r="E5" s="10"/>
      <c r="F5" s="20"/>
      <c r="G5" s="20"/>
      <c r="H5"/>
      <c r="I5"/>
      <c r="J5"/>
      <c r="K5"/>
      <c r="L5"/>
      <c r="M5"/>
      <c r="N5"/>
      <c r="O5"/>
      <c r="P5"/>
      <c r="Q5"/>
      <c r="R5"/>
      <c r="S5"/>
    </row>
    <row r="6" spans="1:19" ht="177" customHeight="1">
      <c r="A6" s="17" t="s">
        <v>15</v>
      </c>
      <c r="B6" s="18" t="s">
        <v>16</v>
      </c>
      <c r="C6" s="19" t="s">
        <v>17</v>
      </c>
      <c r="D6" s="1">
        <v>1</v>
      </c>
      <c r="E6" s="10"/>
      <c r="F6" s="20"/>
      <c r="G6" s="20"/>
      <c r="H6"/>
      <c r="I6"/>
      <c r="J6"/>
      <c r="K6"/>
      <c r="L6"/>
      <c r="M6"/>
      <c r="N6"/>
      <c r="O6"/>
      <c r="P6"/>
      <c r="Q6"/>
      <c r="R6"/>
      <c r="S6"/>
    </row>
    <row r="7" spans="1:19" ht="144.94999999999999" customHeight="1">
      <c r="A7" s="13" t="s">
        <v>18</v>
      </c>
      <c r="B7" s="21" t="s">
        <v>19</v>
      </c>
      <c r="C7" s="22" t="s">
        <v>20</v>
      </c>
      <c r="D7" s="1">
        <v>0</v>
      </c>
      <c r="E7" s="10"/>
      <c r="F7" s="20" t="s">
        <v>21</v>
      </c>
      <c r="G7" s="20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 t="s">
        <v>32</v>
      </c>
      <c r="R7" t="s">
        <v>33</v>
      </c>
      <c r="S7" t="s">
        <v>34</v>
      </c>
    </row>
    <row r="8" spans="1:19" ht="156.6">
      <c r="A8" s="13" t="s">
        <v>35</v>
      </c>
      <c r="B8" s="21" t="s">
        <v>36</v>
      </c>
      <c r="C8" s="22" t="s">
        <v>37</v>
      </c>
      <c r="D8" s="1">
        <v>4</v>
      </c>
      <c r="E8" s="10"/>
      <c r="F8" s="23">
        <f>+D2</f>
        <v>22</v>
      </c>
      <c r="G8" s="23">
        <f>D5</f>
        <v>1</v>
      </c>
      <c r="H8" s="24">
        <f>D6</f>
        <v>1</v>
      </c>
      <c r="I8" s="24">
        <f>D7</f>
        <v>0</v>
      </c>
      <c r="J8" s="24">
        <f>D8</f>
        <v>4</v>
      </c>
      <c r="K8" s="24">
        <f>D9</f>
        <v>4</v>
      </c>
      <c r="L8" s="24">
        <f>D10</f>
        <v>2</v>
      </c>
      <c r="M8" s="24">
        <f>D11</f>
        <v>2</v>
      </c>
      <c r="N8" s="24">
        <f>D14</f>
        <v>0</v>
      </c>
      <c r="O8" s="24">
        <f>D15</f>
        <v>4</v>
      </c>
      <c r="P8" s="24">
        <f>D16</f>
        <v>0</v>
      </c>
      <c r="Q8" s="24">
        <f>D17</f>
        <v>4</v>
      </c>
      <c r="R8" s="24" t="str">
        <f>+D18</f>
        <v>P</v>
      </c>
      <c r="S8" s="24" t="str">
        <f>D12</f>
        <v>B</v>
      </c>
    </row>
    <row r="9" spans="1:19" ht="147">
      <c r="A9" s="25" t="s">
        <v>38</v>
      </c>
      <c r="B9" s="26" t="s">
        <v>39</v>
      </c>
      <c r="C9" s="27" t="s">
        <v>40</v>
      </c>
      <c r="D9" s="1">
        <v>4</v>
      </c>
      <c r="E9" s="10"/>
      <c r="F9"/>
      <c r="G9"/>
      <c r="H9"/>
      <c r="I9"/>
      <c r="J9"/>
      <c r="K9"/>
      <c r="L9"/>
      <c r="M9"/>
      <c r="N9"/>
      <c r="O9"/>
      <c r="P9"/>
      <c r="Q9"/>
      <c r="R9"/>
      <c r="S9"/>
    </row>
    <row r="10" spans="1:19" s="7" customFormat="1" ht="189">
      <c r="A10" s="28" t="s">
        <v>41</v>
      </c>
      <c r="B10" s="29" t="s">
        <v>42</v>
      </c>
      <c r="C10" s="30" t="s">
        <v>43</v>
      </c>
      <c r="D10" s="3">
        <v>2</v>
      </c>
      <c r="E10" s="12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</row>
    <row r="11" spans="1:19" ht="92.45">
      <c r="A11" s="31" t="s">
        <v>44</v>
      </c>
      <c r="B11" s="18" t="s">
        <v>45</v>
      </c>
      <c r="C11" s="19" t="s">
        <v>46</v>
      </c>
      <c r="D11" s="1">
        <v>2</v>
      </c>
      <c r="E11" s="10"/>
      <c r="F11"/>
      <c r="G11"/>
      <c r="H11"/>
      <c r="I11"/>
      <c r="J11"/>
      <c r="K11"/>
      <c r="L11"/>
      <c r="M11"/>
      <c r="N11"/>
      <c r="O11"/>
      <c r="P11"/>
      <c r="Q11"/>
      <c r="R11"/>
      <c r="S11"/>
    </row>
    <row r="12" spans="1:19" ht="55.5">
      <c r="A12" s="31" t="s">
        <v>47</v>
      </c>
      <c r="B12" s="18" t="s">
        <v>48</v>
      </c>
      <c r="C12" s="19" t="s">
        <v>49</v>
      </c>
      <c r="D12" s="1" t="s">
        <v>50</v>
      </c>
      <c r="E12" s="10"/>
      <c r="F12"/>
      <c r="G12"/>
      <c r="H12"/>
      <c r="I12"/>
      <c r="J12"/>
      <c r="K12"/>
      <c r="L12"/>
      <c r="M12"/>
      <c r="N12"/>
      <c r="O12"/>
      <c r="P12"/>
      <c r="Q12"/>
      <c r="R12"/>
      <c r="S12"/>
    </row>
    <row r="13" spans="1:19" ht="54.75">
      <c r="A13" s="32" t="s">
        <v>51</v>
      </c>
      <c r="B13" s="38" t="s">
        <v>70</v>
      </c>
      <c r="C13" s="38"/>
      <c r="D13" s="38"/>
      <c r="E13" s="10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19" ht="36.950000000000003">
      <c r="A14" s="17" t="s">
        <v>52</v>
      </c>
      <c r="B14" s="18" t="s">
        <v>53</v>
      </c>
      <c r="C14" s="19" t="s">
        <v>54</v>
      </c>
      <c r="D14" s="2">
        <v>0</v>
      </c>
      <c r="E14" s="10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19" ht="111">
      <c r="A15" s="17" t="s">
        <v>55</v>
      </c>
      <c r="B15" s="18" t="s">
        <v>56</v>
      </c>
      <c r="C15" s="19" t="s">
        <v>57</v>
      </c>
      <c r="D15" s="2">
        <v>4</v>
      </c>
      <c r="E15" s="10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19" ht="36.950000000000003">
      <c r="A16" s="13" t="s">
        <v>58</v>
      </c>
      <c r="B16" s="21" t="s">
        <v>53</v>
      </c>
      <c r="C16" s="22" t="s">
        <v>20</v>
      </c>
      <c r="D16" s="2">
        <v>0</v>
      </c>
      <c r="E16" s="10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ht="92.45">
      <c r="A17" s="13" t="s">
        <v>59</v>
      </c>
      <c r="B17" s="21" t="s">
        <v>60</v>
      </c>
      <c r="C17" s="22" t="s">
        <v>61</v>
      </c>
      <c r="D17" s="2">
        <v>4</v>
      </c>
      <c r="E17" s="10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ht="36.950000000000003">
      <c r="A18" s="17" t="s">
        <v>62</v>
      </c>
      <c r="B18" s="18" t="s">
        <v>63</v>
      </c>
      <c r="C18" s="19" t="s">
        <v>64</v>
      </c>
      <c r="D18" s="2" t="s">
        <v>65</v>
      </c>
      <c r="E18" s="10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</sheetData>
  <sheetProtection sheet="1" objects="1" scenarios="1"/>
  <mergeCells count="5">
    <mergeCell ref="A1:D1"/>
    <mergeCell ref="B2:C2"/>
    <mergeCell ref="D2:D3"/>
    <mergeCell ref="B3:C3"/>
    <mergeCell ref="B13:D13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745B7-4FA1-459A-81AE-D286337B4D99}">
  <sheetPr>
    <tabColor rgb="FFFFFF00"/>
  </sheetPr>
  <dimension ref="A1:S18"/>
  <sheetViews>
    <sheetView topLeftCell="D5" zoomScale="70" zoomScaleNormal="70" workbookViewId="0">
      <selection activeCell="F8" sqref="F8:S8"/>
    </sheetView>
  </sheetViews>
  <sheetFormatPr defaultColWidth="11" defaultRowHeight="18.600000000000001"/>
  <cols>
    <col min="1" max="1" width="32.625" style="8" customWidth="1"/>
    <col min="2" max="2" width="82" style="6" customWidth="1"/>
    <col min="3" max="3" width="6.625" style="9" customWidth="1"/>
    <col min="4" max="4" width="11" style="9"/>
    <col min="5" max="5" width="11" style="4"/>
    <col min="6" max="16384" width="11" style="5"/>
  </cols>
  <sheetData>
    <row r="1" spans="1:19" ht="30.95">
      <c r="A1" s="33" t="s">
        <v>0</v>
      </c>
      <c r="B1" s="33"/>
      <c r="C1" s="33"/>
      <c r="D1" s="33"/>
      <c r="E1" s="10" t="s">
        <v>1</v>
      </c>
      <c r="F1">
        <f>(D5+D6)</f>
        <v>4</v>
      </c>
      <c r="G1"/>
      <c r="H1"/>
      <c r="I1"/>
      <c r="J1"/>
      <c r="K1"/>
      <c r="L1"/>
      <c r="M1"/>
      <c r="N1"/>
      <c r="O1"/>
      <c r="P1"/>
      <c r="Q1"/>
      <c r="R1"/>
      <c r="S1"/>
    </row>
    <row r="2" spans="1:19" ht="30.95">
      <c r="A2" s="11" t="s">
        <v>2</v>
      </c>
      <c r="B2" s="34" t="s">
        <v>71</v>
      </c>
      <c r="C2" s="34"/>
      <c r="D2" s="35">
        <f>D5+D6+D7+D8+D9+D10+D11+D14+D15+D16+D17</f>
        <v>23.25</v>
      </c>
      <c r="E2" s="12" t="s">
        <v>4</v>
      </c>
      <c r="F2">
        <f>D7+D8</f>
        <v>4</v>
      </c>
      <c r="G2"/>
      <c r="H2"/>
      <c r="I2"/>
      <c r="J2"/>
      <c r="K2"/>
      <c r="L2"/>
      <c r="M2"/>
      <c r="N2"/>
      <c r="O2"/>
      <c r="P2"/>
      <c r="Q2"/>
      <c r="R2"/>
      <c r="S2"/>
    </row>
    <row r="3" spans="1:19" ht="26.1" customHeight="1">
      <c r="A3" s="13" t="s">
        <v>5</v>
      </c>
      <c r="B3" s="37" t="s">
        <v>6</v>
      </c>
      <c r="C3" s="37"/>
      <c r="D3" s="36"/>
      <c r="E3" s="12" t="s">
        <v>7</v>
      </c>
      <c r="F3">
        <f>D9</f>
        <v>4</v>
      </c>
      <c r="G3"/>
      <c r="H3"/>
      <c r="I3"/>
      <c r="J3"/>
      <c r="K3"/>
      <c r="L3"/>
      <c r="M3"/>
      <c r="N3"/>
      <c r="O3"/>
      <c r="P3"/>
      <c r="Q3"/>
      <c r="R3"/>
      <c r="S3"/>
    </row>
    <row r="4" spans="1:19" ht="21">
      <c r="A4" s="13" t="s">
        <v>8</v>
      </c>
      <c r="B4" s="14" t="s">
        <v>9</v>
      </c>
      <c r="C4" s="15" t="s">
        <v>10</v>
      </c>
      <c r="D4" s="16" t="s">
        <v>11</v>
      </c>
      <c r="E4" s="10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 spans="1:19" ht="74.099999999999994">
      <c r="A5" s="17" t="s">
        <v>12</v>
      </c>
      <c r="B5" s="18" t="s">
        <v>13</v>
      </c>
      <c r="C5" s="19" t="s">
        <v>14</v>
      </c>
      <c r="D5" s="1">
        <v>2</v>
      </c>
      <c r="E5" s="10"/>
      <c r="F5" s="20"/>
      <c r="G5" s="20"/>
      <c r="H5"/>
      <c r="I5"/>
      <c r="J5"/>
      <c r="K5"/>
      <c r="L5"/>
      <c r="M5"/>
      <c r="N5"/>
      <c r="O5"/>
      <c r="P5"/>
      <c r="Q5"/>
      <c r="R5"/>
      <c r="S5"/>
    </row>
    <row r="6" spans="1:19" ht="177" customHeight="1">
      <c r="A6" s="17" t="s">
        <v>15</v>
      </c>
      <c r="B6" s="18" t="s">
        <v>16</v>
      </c>
      <c r="C6" s="19" t="s">
        <v>17</v>
      </c>
      <c r="D6" s="1">
        <v>2</v>
      </c>
      <c r="E6" s="10"/>
      <c r="F6" s="20"/>
      <c r="G6" s="20"/>
      <c r="H6"/>
      <c r="I6"/>
      <c r="J6"/>
      <c r="K6"/>
      <c r="L6"/>
      <c r="M6"/>
      <c r="N6"/>
      <c r="O6"/>
      <c r="P6"/>
      <c r="Q6"/>
      <c r="R6"/>
      <c r="S6"/>
    </row>
    <row r="7" spans="1:19" ht="144.94999999999999" customHeight="1">
      <c r="A7" s="13" t="s">
        <v>18</v>
      </c>
      <c r="B7" s="21" t="s">
        <v>19</v>
      </c>
      <c r="C7" s="22" t="s">
        <v>20</v>
      </c>
      <c r="D7" s="1">
        <v>0</v>
      </c>
      <c r="E7" s="10"/>
      <c r="F7" s="20" t="s">
        <v>21</v>
      </c>
      <c r="G7" s="20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 t="s">
        <v>32</v>
      </c>
      <c r="R7" t="s">
        <v>33</v>
      </c>
      <c r="S7" t="s">
        <v>34</v>
      </c>
    </row>
    <row r="8" spans="1:19" ht="156.6">
      <c r="A8" s="13" t="s">
        <v>35</v>
      </c>
      <c r="B8" s="21" t="s">
        <v>36</v>
      </c>
      <c r="C8" s="22" t="s">
        <v>37</v>
      </c>
      <c r="D8" s="1">
        <v>4</v>
      </c>
      <c r="E8" s="10"/>
      <c r="F8" s="23">
        <f>+D2</f>
        <v>23.25</v>
      </c>
      <c r="G8" s="23">
        <f>D5</f>
        <v>2</v>
      </c>
      <c r="H8" s="24">
        <f>D6</f>
        <v>2</v>
      </c>
      <c r="I8" s="24">
        <f>D7</f>
        <v>0</v>
      </c>
      <c r="J8" s="24">
        <f>D8</f>
        <v>4</v>
      </c>
      <c r="K8" s="24">
        <f>D9</f>
        <v>4</v>
      </c>
      <c r="L8" s="24">
        <f>D10</f>
        <v>2</v>
      </c>
      <c r="M8" s="24">
        <f>D11</f>
        <v>3</v>
      </c>
      <c r="N8" s="24">
        <f>D14</f>
        <v>0</v>
      </c>
      <c r="O8" s="24">
        <f>D15</f>
        <v>2.25</v>
      </c>
      <c r="P8" s="24">
        <f>D16</f>
        <v>0</v>
      </c>
      <c r="Q8" s="24">
        <f>D17</f>
        <v>4</v>
      </c>
      <c r="R8" s="24" t="str">
        <f>+D18</f>
        <v>P</v>
      </c>
      <c r="S8" s="24" t="str">
        <f>D12</f>
        <v>B</v>
      </c>
    </row>
    <row r="9" spans="1:19" ht="147">
      <c r="A9" s="25" t="s">
        <v>38</v>
      </c>
      <c r="B9" s="26" t="s">
        <v>39</v>
      </c>
      <c r="C9" s="27" t="s">
        <v>40</v>
      </c>
      <c r="D9" s="1">
        <v>4</v>
      </c>
      <c r="E9" s="10"/>
      <c r="F9"/>
      <c r="G9"/>
      <c r="H9"/>
      <c r="I9"/>
      <c r="J9"/>
      <c r="K9"/>
      <c r="L9"/>
      <c r="M9"/>
      <c r="N9"/>
      <c r="O9"/>
      <c r="P9"/>
      <c r="Q9"/>
      <c r="R9"/>
      <c r="S9"/>
    </row>
    <row r="10" spans="1:19" s="7" customFormat="1" ht="189">
      <c r="A10" s="28" t="s">
        <v>41</v>
      </c>
      <c r="B10" s="29" t="s">
        <v>42</v>
      </c>
      <c r="C10" s="30" t="s">
        <v>43</v>
      </c>
      <c r="D10" s="3">
        <v>2</v>
      </c>
      <c r="E10" s="12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</row>
    <row r="11" spans="1:19" ht="92.45">
      <c r="A11" s="31" t="s">
        <v>44</v>
      </c>
      <c r="B11" s="18" t="s">
        <v>45</v>
      </c>
      <c r="C11" s="19" t="s">
        <v>46</v>
      </c>
      <c r="D11" s="1">
        <v>3</v>
      </c>
      <c r="E11" s="10"/>
      <c r="F11"/>
      <c r="G11"/>
      <c r="H11"/>
      <c r="I11"/>
      <c r="J11"/>
      <c r="K11"/>
      <c r="L11"/>
      <c r="M11"/>
      <c r="N11"/>
      <c r="O11"/>
      <c r="P11"/>
      <c r="Q11"/>
      <c r="R11"/>
      <c r="S11"/>
    </row>
    <row r="12" spans="1:19" ht="55.5">
      <c r="A12" s="31" t="s">
        <v>47</v>
      </c>
      <c r="B12" s="18" t="s">
        <v>48</v>
      </c>
      <c r="C12" s="19" t="s">
        <v>49</v>
      </c>
      <c r="D12" s="1" t="s">
        <v>50</v>
      </c>
      <c r="E12" s="10"/>
      <c r="F12"/>
      <c r="G12"/>
      <c r="H12"/>
      <c r="I12"/>
      <c r="J12"/>
      <c r="K12"/>
      <c r="L12"/>
      <c r="M12"/>
      <c r="N12"/>
      <c r="O12"/>
      <c r="P12"/>
      <c r="Q12"/>
      <c r="R12"/>
      <c r="S12"/>
    </row>
    <row r="13" spans="1:19" ht="54.75">
      <c r="A13" s="32" t="s">
        <v>51</v>
      </c>
      <c r="B13" s="39" t="s">
        <v>72</v>
      </c>
      <c r="C13" s="38"/>
      <c r="D13" s="38"/>
      <c r="E13" s="10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19" ht="36.950000000000003">
      <c r="A14" s="17" t="s">
        <v>52</v>
      </c>
      <c r="B14" s="18" t="s">
        <v>53</v>
      </c>
      <c r="C14" s="19" t="s">
        <v>54</v>
      </c>
      <c r="D14" s="2">
        <v>0</v>
      </c>
      <c r="E14" s="10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19" ht="111">
      <c r="A15" s="17" t="s">
        <v>55</v>
      </c>
      <c r="B15" s="18" t="s">
        <v>56</v>
      </c>
      <c r="C15" s="19" t="s">
        <v>57</v>
      </c>
      <c r="D15" s="2">
        <v>2.25</v>
      </c>
      <c r="E15" s="10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19" ht="36.950000000000003">
      <c r="A16" s="13" t="s">
        <v>58</v>
      </c>
      <c r="B16" s="21" t="s">
        <v>53</v>
      </c>
      <c r="C16" s="22" t="s">
        <v>20</v>
      </c>
      <c r="D16" s="2">
        <v>0</v>
      </c>
      <c r="E16" s="10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ht="92.45">
      <c r="A17" s="13" t="s">
        <v>59</v>
      </c>
      <c r="B17" s="21" t="s">
        <v>60</v>
      </c>
      <c r="C17" s="22" t="s">
        <v>61</v>
      </c>
      <c r="D17" s="2">
        <v>4</v>
      </c>
      <c r="E17" s="10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ht="36.950000000000003">
      <c r="A18" s="17" t="s">
        <v>62</v>
      </c>
      <c r="B18" s="18" t="s">
        <v>63</v>
      </c>
      <c r="C18" s="19" t="s">
        <v>64</v>
      </c>
      <c r="D18" s="2" t="s">
        <v>65</v>
      </c>
      <c r="E18" s="10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</sheetData>
  <sheetProtection sheet="1" objects="1" scenarios="1"/>
  <mergeCells count="5">
    <mergeCell ref="A1:D1"/>
    <mergeCell ref="B2:C2"/>
    <mergeCell ref="D2:D3"/>
    <mergeCell ref="B3:C3"/>
    <mergeCell ref="B13:D13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2905F-3FD1-44E1-B67E-D997A6523E5C}">
  <sheetPr>
    <tabColor rgb="FFFFFF00"/>
  </sheetPr>
  <dimension ref="A1:S18"/>
  <sheetViews>
    <sheetView zoomScale="85" zoomScaleNormal="85" workbookViewId="0">
      <selection activeCell="F8" sqref="F8:S8"/>
    </sheetView>
  </sheetViews>
  <sheetFormatPr defaultColWidth="11" defaultRowHeight="18.600000000000001"/>
  <cols>
    <col min="1" max="1" width="32.625" style="8" customWidth="1"/>
    <col min="2" max="2" width="82" style="6" customWidth="1"/>
    <col min="3" max="3" width="6.625" style="9" customWidth="1"/>
    <col min="4" max="4" width="11" style="9"/>
    <col min="5" max="5" width="11" style="4"/>
    <col min="6" max="16384" width="11" style="5"/>
  </cols>
  <sheetData>
    <row r="1" spans="1:19" ht="30.95">
      <c r="A1" s="33" t="s">
        <v>0</v>
      </c>
      <c r="B1" s="33"/>
      <c r="C1" s="33"/>
      <c r="D1" s="33"/>
      <c r="E1" s="10" t="s">
        <v>1</v>
      </c>
      <c r="F1">
        <f>(D5+D6)</f>
        <v>2</v>
      </c>
      <c r="G1"/>
      <c r="H1"/>
      <c r="I1"/>
      <c r="J1"/>
      <c r="K1"/>
      <c r="L1"/>
      <c r="M1"/>
      <c r="N1"/>
      <c r="O1"/>
      <c r="P1"/>
      <c r="Q1"/>
      <c r="R1"/>
      <c r="S1"/>
    </row>
    <row r="2" spans="1:19" ht="30.95">
      <c r="A2" s="11" t="s">
        <v>2</v>
      </c>
      <c r="B2" s="34" t="s">
        <v>73</v>
      </c>
      <c r="C2" s="34"/>
      <c r="D2" s="35">
        <f>D5+D6+D7+D8+D9+D10+D11+D14+D15+D16+D17</f>
        <v>16</v>
      </c>
      <c r="E2" s="12" t="s">
        <v>4</v>
      </c>
      <c r="F2">
        <f>D7+D8</f>
        <v>2</v>
      </c>
      <c r="G2"/>
      <c r="H2"/>
      <c r="I2"/>
      <c r="J2"/>
      <c r="K2"/>
      <c r="L2"/>
      <c r="M2"/>
      <c r="N2"/>
      <c r="O2"/>
      <c r="P2"/>
      <c r="Q2"/>
      <c r="R2"/>
      <c r="S2"/>
    </row>
    <row r="3" spans="1:19" ht="26.1" customHeight="1">
      <c r="A3" s="13" t="s">
        <v>5</v>
      </c>
      <c r="B3" s="37" t="s">
        <v>6</v>
      </c>
      <c r="C3" s="37"/>
      <c r="D3" s="36"/>
      <c r="E3" s="12" t="s">
        <v>7</v>
      </c>
      <c r="F3">
        <f>D9</f>
        <v>2</v>
      </c>
      <c r="G3"/>
      <c r="H3"/>
      <c r="I3"/>
      <c r="J3"/>
      <c r="K3"/>
      <c r="L3"/>
      <c r="M3"/>
      <c r="N3"/>
      <c r="O3"/>
      <c r="P3"/>
      <c r="Q3"/>
      <c r="R3"/>
      <c r="S3"/>
    </row>
    <row r="4" spans="1:19" ht="21">
      <c r="A4" s="13" t="s">
        <v>8</v>
      </c>
      <c r="B4" s="14" t="s">
        <v>9</v>
      </c>
      <c r="C4" s="15" t="s">
        <v>10</v>
      </c>
      <c r="D4" s="16" t="s">
        <v>11</v>
      </c>
      <c r="E4" s="10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 spans="1:19" ht="74.099999999999994">
      <c r="A5" s="17" t="s">
        <v>12</v>
      </c>
      <c r="B5" s="18" t="s">
        <v>13</v>
      </c>
      <c r="C5" s="19" t="s">
        <v>14</v>
      </c>
      <c r="D5" s="1">
        <v>1</v>
      </c>
      <c r="E5" s="10"/>
      <c r="F5" s="20"/>
      <c r="G5" s="20"/>
      <c r="H5"/>
      <c r="I5"/>
      <c r="J5"/>
      <c r="K5"/>
      <c r="L5"/>
      <c r="M5"/>
      <c r="N5"/>
      <c r="O5"/>
      <c r="P5"/>
      <c r="Q5"/>
      <c r="R5"/>
      <c r="S5"/>
    </row>
    <row r="6" spans="1:19" ht="177" customHeight="1">
      <c r="A6" s="17" t="s">
        <v>15</v>
      </c>
      <c r="B6" s="18" t="s">
        <v>16</v>
      </c>
      <c r="C6" s="19" t="s">
        <v>17</v>
      </c>
      <c r="D6" s="1">
        <v>1</v>
      </c>
      <c r="E6" s="10"/>
      <c r="F6" s="20"/>
      <c r="G6" s="20"/>
      <c r="H6"/>
      <c r="I6"/>
      <c r="J6"/>
      <c r="K6"/>
      <c r="L6"/>
      <c r="M6"/>
      <c r="N6"/>
      <c r="O6"/>
      <c r="P6"/>
      <c r="Q6"/>
      <c r="R6"/>
      <c r="S6"/>
    </row>
    <row r="7" spans="1:19" ht="144.94999999999999" customHeight="1">
      <c r="A7" s="13" t="s">
        <v>18</v>
      </c>
      <c r="B7" s="21" t="s">
        <v>19</v>
      </c>
      <c r="C7" s="22" t="s">
        <v>20</v>
      </c>
      <c r="D7" s="1">
        <v>0</v>
      </c>
      <c r="E7" s="10"/>
      <c r="F7" s="20" t="s">
        <v>21</v>
      </c>
      <c r="G7" s="20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 t="s">
        <v>32</v>
      </c>
      <c r="R7" t="s">
        <v>33</v>
      </c>
      <c r="S7" t="s">
        <v>34</v>
      </c>
    </row>
    <row r="8" spans="1:19" ht="156.6">
      <c r="A8" s="13" t="s">
        <v>35</v>
      </c>
      <c r="B8" s="21" t="s">
        <v>36</v>
      </c>
      <c r="C8" s="22" t="s">
        <v>37</v>
      </c>
      <c r="D8" s="1">
        <v>2</v>
      </c>
      <c r="E8" s="10"/>
      <c r="F8" s="23">
        <f>+D2</f>
        <v>16</v>
      </c>
      <c r="G8" s="23">
        <f>D5</f>
        <v>1</v>
      </c>
      <c r="H8" s="24">
        <f>D6</f>
        <v>1</v>
      </c>
      <c r="I8" s="24">
        <f>D7</f>
        <v>0</v>
      </c>
      <c r="J8" s="24">
        <f>D8</f>
        <v>2</v>
      </c>
      <c r="K8" s="24">
        <f>D9</f>
        <v>2</v>
      </c>
      <c r="L8" s="24">
        <f>D10</f>
        <v>2</v>
      </c>
      <c r="M8" s="24">
        <f>D11</f>
        <v>1</v>
      </c>
      <c r="N8" s="24">
        <f>D14</f>
        <v>0</v>
      </c>
      <c r="O8" s="24">
        <f>D15</f>
        <v>4</v>
      </c>
      <c r="P8" s="24">
        <f>D16</f>
        <v>0</v>
      </c>
      <c r="Q8" s="24">
        <f>D17</f>
        <v>3</v>
      </c>
      <c r="R8" s="24" t="str">
        <f>+D18</f>
        <v>P</v>
      </c>
      <c r="S8" s="24" t="str">
        <f>D12</f>
        <v>B</v>
      </c>
    </row>
    <row r="9" spans="1:19" ht="147">
      <c r="A9" s="25" t="s">
        <v>38</v>
      </c>
      <c r="B9" s="26" t="s">
        <v>39</v>
      </c>
      <c r="C9" s="27" t="s">
        <v>40</v>
      </c>
      <c r="D9" s="1">
        <v>2</v>
      </c>
      <c r="E9" s="10"/>
      <c r="F9"/>
      <c r="G9"/>
      <c r="H9"/>
      <c r="I9"/>
      <c r="J9"/>
      <c r="K9"/>
      <c r="L9"/>
      <c r="M9"/>
      <c r="N9"/>
      <c r="O9"/>
      <c r="P9"/>
      <c r="Q9"/>
      <c r="R9"/>
      <c r="S9"/>
    </row>
    <row r="10" spans="1:19" s="7" customFormat="1" ht="189">
      <c r="A10" s="28" t="s">
        <v>41</v>
      </c>
      <c r="B10" s="29" t="s">
        <v>42</v>
      </c>
      <c r="C10" s="30" t="s">
        <v>43</v>
      </c>
      <c r="D10" s="3">
        <v>2</v>
      </c>
      <c r="E10" s="12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</row>
    <row r="11" spans="1:19" ht="92.45">
      <c r="A11" s="31" t="s">
        <v>44</v>
      </c>
      <c r="B11" s="18" t="s">
        <v>45</v>
      </c>
      <c r="C11" s="19" t="s">
        <v>46</v>
      </c>
      <c r="D11" s="1">
        <v>1</v>
      </c>
      <c r="E11" s="10"/>
      <c r="F11"/>
      <c r="G11"/>
      <c r="H11"/>
      <c r="I11"/>
      <c r="J11"/>
      <c r="K11"/>
      <c r="L11"/>
      <c r="M11"/>
      <c r="N11"/>
      <c r="O11"/>
      <c r="P11"/>
      <c r="Q11"/>
      <c r="R11"/>
      <c r="S11"/>
    </row>
    <row r="12" spans="1:19" ht="55.5">
      <c r="A12" s="31" t="s">
        <v>47</v>
      </c>
      <c r="B12" s="18" t="s">
        <v>48</v>
      </c>
      <c r="C12" s="19" t="s">
        <v>49</v>
      </c>
      <c r="D12" s="1" t="s">
        <v>50</v>
      </c>
      <c r="E12" s="10"/>
      <c r="F12"/>
      <c r="G12"/>
      <c r="H12"/>
      <c r="I12"/>
      <c r="J12"/>
      <c r="K12"/>
      <c r="L12"/>
      <c r="M12"/>
      <c r="N12"/>
      <c r="O12"/>
      <c r="P12"/>
      <c r="Q12"/>
      <c r="R12"/>
      <c r="S12"/>
    </row>
    <row r="13" spans="1:19" ht="54.75">
      <c r="A13" s="32" t="s">
        <v>51</v>
      </c>
      <c r="B13" s="40" t="s">
        <v>74</v>
      </c>
      <c r="C13" s="38"/>
      <c r="D13" s="38"/>
      <c r="E13" s="10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19" ht="36.950000000000003">
      <c r="A14" s="17" t="s">
        <v>52</v>
      </c>
      <c r="B14" s="18" t="s">
        <v>53</v>
      </c>
      <c r="C14" s="19" t="s">
        <v>54</v>
      </c>
      <c r="D14" s="2">
        <v>0</v>
      </c>
      <c r="E14" s="10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19" ht="111">
      <c r="A15" s="17" t="s">
        <v>55</v>
      </c>
      <c r="B15" s="18" t="s">
        <v>56</v>
      </c>
      <c r="C15" s="19" t="s">
        <v>57</v>
      </c>
      <c r="D15" s="2">
        <v>4</v>
      </c>
      <c r="E15" s="10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19" ht="36.950000000000003">
      <c r="A16" s="13" t="s">
        <v>58</v>
      </c>
      <c r="B16" s="21" t="s">
        <v>53</v>
      </c>
      <c r="C16" s="22" t="s">
        <v>20</v>
      </c>
      <c r="D16" s="2">
        <v>0</v>
      </c>
      <c r="E16" s="10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ht="92.45">
      <c r="A17" s="13" t="s">
        <v>59</v>
      </c>
      <c r="B17" s="21" t="s">
        <v>60</v>
      </c>
      <c r="C17" s="22" t="s">
        <v>61</v>
      </c>
      <c r="D17" s="2">
        <v>3</v>
      </c>
      <c r="E17" s="10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ht="36.950000000000003">
      <c r="A18" s="17" t="s">
        <v>62</v>
      </c>
      <c r="B18" s="18" t="s">
        <v>63</v>
      </c>
      <c r="C18" s="19" t="s">
        <v>64</v>
      </c>
      <c r="D18" s="2" t="s">
        <v>65</v>
      </c>
      <c r="E18" s="10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</sheetData>
  <sheetProtection sheet="1" objects="1" scenarios="1"/>
  <mergeCells count="5">
    <mergeCell ref="A1:D1"/>
    <mergeCell ref="B2:C2"/>
    <mergeCell ref="D2:D3"/>
    <mergeCell ref="B3:C3"/>
    <mergeCell ref="B13:D13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831BB-DE1B-4979-874B-DB7960EB3EAE}">
  <sheetPr>
    <tabColor rgb="FFFFFF00"/>
  </sheetPr>
  <dimension ref="A1:S18"/>
  <sheetViews>
    <sheetView topLeftCell="E6" zoomScale="80" zoomScaleNormal="80" workbookViewId="0">
      <selection activeCell="F8" sqref="F8:S8"/>
    </sheetView>
  </sheetViews>
  <sheetFormatPr defaultColWidth="11" defaultRowHeight="18.600000000000001"/>
  <cols>
    <col min="1" max="1" width="32.625" style="8" customWidth="1"/>
    <col min="2" max="2" width="82" style="6" customWidth="1"/>
    <col min="3" max="3" width="6.625" style="9" customWidth="1"/>
    <col min="4" max="4" width="11" style="9"/>
    <col min="5" max="5" width="11" style="4"/>
    <col min="6" max="16384" width="11" style="5"/>
  </cols>
  <sheetData>
    <row r="1" spans="1:19" ht="30.95">
      <c r="A1" s="33" t="s">
        <v>0</v>
      </c>
      <c r="B1" s="33"/>
      <c r="C1" s="33"/>
      <c r="D1" s="33"/>
      <c r="E1" s="10" t="s">
        <v>1</v>
      </c>
      <c r="F1">
        <f>(D5+D6)</f>
        <v>3</v>
      </c>
      <c r="G1"/>
      <c r="H1"/>
      <c r="I1"/>
      <c r="J1"/>
      <c r="K1"/>
      <c r="L1"/>
      <c r="M1"/>
      <c r="N1"/>
      <c r="O1"/>
      <c r="P1"/>
      <c r="Q1"/>
      <c r="R1"/>
      <c r="S1"/>
    </row>
    <row r="2" spans="1:19" ht="30.95">
      <c r="A2" s="11" t="s">
        <v>2</v>
      </c>
      <c r="B2" s="34" t="s">
        <v>75</v>
      </c>
      <c r="C2" s="34"/>
      <c r="D2" s="35">
        <f>D5+D6+D7+D8+D9+D10+D11+D14+D15+D16+D17</f>
        <v>16</v>
      </c>
      <c r="E2" s="12" t="s">
        <v>4</v>
      </c>
      <c r="F2">
        <f>D7+D8</f>
        <v>2</v>
      </c>
      <c r="G2"/>
      <c r="H2"/>
      <c r="I2"/>
      <c r="J2"/>
      <c r="K2"/>
      <c r="L2"/>
      <c r="M2"/>
      <c r="N2"/>
      <c r="O2"/>
      <c r="P2"/>
      <c r="Q2"/>
      <c r="R2"/>
      <c r="S2"/>
    </row>
    <row r="3" spans="1:19" ht="26.1" customHeight="1">
      <c r="A3" s="13" t="s">
        <v>5</v>
      </c>
      <c r="B3" s="37" t="s">
        <v>6</v>
      </c>
      <c r="C3" s="37"/>
      <c r="D3" s="36"/>
      <c r="E3" s="12" t="s">
        <v>7</v>
      </c>
      <c r="F3">
        <f>D9</f>
        <v>2</v>
      </c>
      <c r="G3"/>
      <c r="H3"/>
      <c r="I3"/>
      <c r="J3"/>
      <c r="K3"/>
      <c r="L3"/>
      <c r="M3"/>
      <c r="N3"/>
      <c r="O3"/>
      <c r="P3"/>
      <c r="Q3"/>
      <c r="R3"/>
      <c r="S3"/>
    </row>
    <row r="4" spans="1:19" ht="21">
      <c r="A4" s="13" t="s">
        <v>8</v>
      </c>
      <c r="B4" s="14" t="s">
        <v>9</v>
      </c>
      <c r="C4" s="15" t="s">
        <v>10</v>
      </c>
      <c r="D4" s="16" t="s">
        <v>11</v>
      </c>
      <c r="E4" s="10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 spans="1:19" ht="74.099999999999994">
      <c r="A5" s="17" t="s">
        <v>12</v>
      </c>
      <c r="B5" s="18" t="s">
        <v>13</v>
      </c>
      <c r="C5" s="19" t="s">
        <v>14</v>
      </c>
      <c r="D5" s="1">
        <v>1</v>
      </c>
      <c r="E5" s="10"/>
      <c r="F5" s="20"/>
      <c r="G5" s="20"/>
      <c r="H5"/>
      <c r="I5"/>
      <c r="J5"/>
      <c r="K5"/>
      <c r="L5"/>
      <c r="M5"/>
      <c r="N5"/>
      <c r="O5"/>
      <c r="P5"/>
      <c r="Q5"/>
      <c r="R5"/>
      <c r="S5"/>
    </row>
    <row r="6" spans="1:19" ht="177" customHeight="1">
      <c r="A6" s="17" t="s">
        <v>15</v>
      </c>
      <c r="B6" s="18" t="s">
        <v>16</v>
      </c>
      <c r="C6" s="19" t="s">
        <v>17</v>
      </c>
      <c r="D6" s="1">
        <v>2</v>
      </c>
      <c r="E6" s="10"/>
      <c r="F6" s="20"/>
      <c r="G6" s="20"/>
      <c r="H6"/>
      <c r="I6"/>
      <c r="J6"/>
      <c r="K6"/>
      <c r="L6"/>
      <c r="M6"/>
      <c r="N6"/>
      <c r="O6"/>
      <c r="P6"/>
      <c r="Q6"/>
      <c r="R6"/>
      <c r="S6"/>
    </row>
    <row r="7" spans="1:19" ht="144.94999999999999" customHeight="1">
      <c r="A7" s="13" t="s">
        <v>18</v>
      </c>
      <c r="B7" s="21" t="s">
        <v>19</v>
      </c>
      <c r="C7" s="22" t="s">
        <v>20</v>
      </c>
      <c r="D7" s="1">
        <v>0</v>
      </c>
      <c r="E7" s="10"/>
      <c r="F7" s="20" t="s">
        <v>21</v>
      </c>
      <c r="G7" s="20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 t="s">
        <v>32</v>
      </c>
      <c r="R7" t="s">
        <v>33</v>
      </c>
      <c r="S7" t="s">
        <v>34</v>
      </c>
    </row>
    <row r="8" spans="1:19" ht="156.6">
      <c r="A8" s="13" t="s">
        <v>35</v>
      </c>
      <c r="B8" s="21" t="s">
        <v>36</v>
      </c>
      <c r="C8" s="22" t="s">
        <v>37</v>
      </c>
      <c r="D8" s="1">
        <v>2</v>
      </c>
      <c r="E8" s="10"/>
      <c r="F8" s="23">
        <f>+D2</f>
        <v>16</v>
      </c>
      <c r="G8" s="23">
        <f>D5</f>
        <v>1</v>
      </c>
      <c r="H8" s="24">
        <f>D6</f>
        <v>2</v>
      </c>
      <c r="I8" s="24">
        <f>D7</f>
        <v>0</v>
      </c>
      <c r="J8" s="24">
        <f>D8</f>
        <v>2</v>
      </c>
      <c r="K8" s="24">
        <f>D9</f>
        <v>2</v>
      </c>
      <c r="L8" s="24">
        <f>D10</f>
        <v>1</v>
      </c>
      <c r="M8" s="24">
        <f>D11</f>
        <v>1</v>
      </c>
      <c r="N8" s="24">
        <f>D14</f>
        <v>0</v>
      </c>
      <c r="O8" s="24">
        <f>D15</f>
        <v>1</v>
      </c>
      <c r="P8" s="24">
        <f>D16</f>
        <v>2</v>
      </c>
      <c r="Q8" s="24">
        <f>D17</f>
        <v>4</v>
      </c>
      <c r="R8" s="24" t="str">
        <f>+D18</f>
        <v>P</v>
      </c>
      <c r="S8" s="24" t="str">
        <f>D12</f>
        <v>B</v>
      </c>
    </row>
    <row r="9" spans="1:19" ht="147">
      <c r="A9" s="25" t="s">
        <v>38</v>
      </c>
      <c r="B9" s="26" t="s">
        <v>39</v>
      </c>
      <c r="C9" s="27" t="s">
        <v>40</v>
      </c>
      <c r="D9" s="1">
        <v>2</v>
      </c>
      <c r="E9" s="10"/>
      <c r="F9"/>
      <c r="G9"/>
      <c r="H9"/>
      <c r="I9"/>
      <c r="J9"/>
      <c r="K9"/>
      <c r="L9"/>
      <c r="M9"/>
      <c r="N9"/>
      <c r="O9"/>
      <c r="P9"/>
      <c r="Q9"/>
      <c r="R9"/>
      <c r="S9"/>
    </row>
    <row r="10" spans="1:19" s="7" customFormat="1" ht="189">
      <c r="A10" s="28" t="s">
        <v>41</v>
      </c>
      <c r="B10" s="29" t="s">
        <v>42</v>
      </c>
      <c r="C10" s="30" t="s">
        <v>43</v>
      </c>
      <c r="D10" s="3">
        <v>1</v>
      </c>
      <c r="E10" s="12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</row>
    <row r="11" spans="1:19" ht="92.45">
      <c r="A11" s="31" t="s">
        <v>44</v>
      </c>
      <c r="B11" s="18" t="s">
        <v>45</v>
      </c>
      <c r="C11" s="19" t="s">
        <v>46</v>
      </c>
      <c r="D11" s="1">
        <v>1</v>
      </c>
      <c r="E11" s="10"/>
      <c r="F11"/>
      <c r="G11"/>
      <c r="H11"/>
      <c r="I11"/>
      <c r="J11"/>
      <c r="K11"/>
      <c r="L11"/>
      <c r="M11"/>
      <c r="N11"/>
      <c r="O11"/>
      <c r="P11"/>
      <c r="Q11"/>
      <c r="R11"/>
      <c r="S11"/>
    </row>
    <row r="12" spans="1:19" ht="55.5">
      <c r="A12" s="31" t="s">
        <v>47</v>
      </c>
      <c r="B12" s="18" t="s">
        <v>48</v>
      </c>
      <c r="C12" s="19" t="s">
        <v>49</v>
      </c>
      <c r="D12" s="1" t="s">
        <v>50</v>
      </c>
      <c r="E12" s="10"/>
      <c r="F12"/>
      <c r="G12"/>
      <c r="H12"/>
      <c r="I12"/>
      <c r="J12"/>
      <c r="K12"/>
      <c r="L12"/>
      <c r="M12"/>
      <c r="N12"/>
      <c r="O12"/>
      <c r="P12"/>
      <c r="Q12"/>
      <c r="R12"/>
      <c r="S12"/>
    </row>
    <row r="13" spans="1:19" ht="54.75">
      <c r="A13" s="32" t="s">
        <v>51</v>
      </c>
      <c r="B13" s="38" t="s">
        <v>76</v>
      </c>
      <c r="C13" s="38"/>
      <c r="D13" s="38"/>
      <c r="E13" s="10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19" ht="36.950000000000003">
      <c r="A14" s="17" t="s">
        <v>52</v>
      </c>
      <c r="B14" s="18" t="s">
        <v>53</v>
      </c>
      <c r="C14" s="19" t="s">
        <v>54</v>
      </c>
      <c r="D14" s="2">
        <v>0</v>
      </c>
      <c r="E14" s="10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19" ht="111">
      <c r="A15" s="17" t="s">
        <v>55</v>
      </c>
      <c r="B15" s="18" t="s">
        <v>56</v>
      </c>
      <c r="C15" s="19" t="s">
        <v>57</v>
      </c>
      <c r="D15" s="2">
        <v>1</v>
      </c>
      <c r="E15" s="10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19" ht="36.950000000000003">
      <c r="A16" s="13" t="s">
        <v>58</v>
      </c>
      <c r="B16" s="21" t="s">
        <v>53</v>
      </c>
      <c r="C16" s="22" t="s">
        <v>20</v>
      </c>
      <c r="D16" s="2">
        <v>2</v>
      </c>
      <c r="E16" s="10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ht="92.45">
      <c r="A17" s="13" t="s">
        <v>59</v>
      </c>
      <c r="B17" s="21" t="s">
        <v>60</v>
      </c>
      <c r="C17" s="22" t="s">
        <v>61</v>
      </c>
      <c r="D17" s="2">
        <v>4</v>
      </c>
      <c r="E17" s="10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ht="36.950000000000003">
      <c r="A18" s="17" t="s">
        <v>62</v>
      </c>
      <c r="B18" s="18" t="s">
        <v>63</v>
      </c>
      <c r="C18" s="19" t="s">
        <v>64</v>
      </c>
      <c r="D18" s="2" t="s">
        <v>65</v>
      </c>
      <c r="E18" s="10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</sheetData>
  <sheetProtection sheet="1" objects="1" scenarios="1"/>
  <mergeCells count="5">
    <mergeCell ref="A1:D1"/>
    <mergeCell ref="B2:C2"/>
    <mergeCell ref="D2:D3"/>
    <mergeCell ref="B3:C3"/>
    <mergeCell ref="B13:D13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D1C74-3E43-43D2-9174-457A13E23649}">
  <sheetPr>
    <tabColor rgb="FFFFFF00"/>
  </sheetPr>
  <dimension ref="A1:S18"/>
  <sheetViews>
    <sheetView topLeftCell="B7" zoomScale="70" zoomScaleNormal="70" workbookViewId="0">
      <selection activeCell="F8" sqref="F8:S8"/>
    </sheetView>
  </sheetViews>
  <sheetFormatPr defaultColWidth="11" defaultRowHeight="18.600000000000001"/>
  <cols>
    <col min="1" max="1" width="32.625" style="8" customWidth="1"/>
    <col min="2" max="2" width="82" style="6" customWidth="1"/>
    <col min="3" max="3" width="6.625" style="9" customWidth="1"/>
    <col min="4" max="4" width="11" style="9"/>
    <col min="5" max="5" width="11" style="4"/>
    <col min="6" max="16384" width="11" style="5"/>
  </cols>
  <sheetData>
    <row r="1" spans="1:19" ht="30.95">
      <c r="A1" s="33" t="s">
        <v>0</v>
      </c>
      <c r="B1" s="33"/>
      <c r="C1" s="33"/>
      <c r="D1" s="33"/>
      <c r="E1" s="10" t="s">
        <v>1</v>
      </c>
      <c r="F1">
        <f>(D5+D6)</f>
        <v>1.5</v>
      </c>
      <c r="G1"/>
      <c r="H1"/>
      <c r="I1"/>
      <c r="J1"/>
      <c r="K1"/>
      <c r="L1"/>
      <c r="M1"/>
      <c r="N1"/>
      <c r="O1"/>
      <c r="P1"/>
      <c r="Q1"/>
      <c r="R1"/>
      <c r="S1"/>
    </row>
    <row r="2" spans="1:19" ht="30.95">
      <c r="A2" s="11" t="s">
        <v>2</v>
      </c>
      <c r="B2" s="34" t="s">
        <v>77</v>
      </c>
      <c r="C2" s="34"/>
      <c r="D2" s="35">
        <f>D5+D6+D7+D8+D9+D10+D11+D14+D15+D16+D17</f>
        <v>11</v>
      </c>
      <c r="E2" s="12" t="s">
        <v>4</v>
      </c>
      <c r="F2">
        <f>D7+D8</f>
        <v>2</v>
      </c>
      <c r="G2"/>
      <c r="H2"/>
      <c r="I2"/>
      <c r="J2"/>
      <c r="K2"/>
      <c r="L2"/>
      <c r="M2"/>
      <c r="N2"/>
      <c r="O2"/>
      <c r="P2"/>
      <c r="Q2"/>
      <c r="R2"/>
      <c r="S2"/>
    </row>
    <row r="3" spans="1:19" ht="26.1" customHeight="1">
      <c r="A3" s="13" t="s">
        <v>5</v>
      </c>
      <c r="B3" s="37" t="s">
        <v>6</v>
      </c>
      <c r="C3" s="37"/>
      <c r="D3" s="36"/>
      <c r="E3" s="12" t="s">
        <v>7</v>
      </c>
      <c r="F3">
        <f>D9</f>
        <v>0.5</v>
      </c>
      <c r="G3"/>
      <c r="H3"/>
      <c r="I3"/>
      <c r="J3"/>
      <c r="K3"/>
      <c r="L3"/>
      <c r="M3"/>
      <c r="N3"/>
      <c r="O3"/>
      <c r="P3"/>
      <c r="Q3"/>
      <c r="R3"/>
      <c r="S3"/>
    </row>
    <row r="4" spans="1:19" ht="21">
      <c r="A4" s="13" t="s">
        <v>8</v>
      </c>
      <c r="B4" s="14" t="s">
        <v>9</v>
      </c>
      <c r="C4" s="15" t="s">
        <v>10</v>
      </c>
      <c r="D4" s="16" t="s">
        <v>11</v>
      </c>
      <c r="E4" s="10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 spans="1:19" ht="74.099999999999994">
      <c r="A5" s="17" t="s">
        <v>12</v>
      </c>
      <c r="B5" s="18" t="s">
        <v>13</v>
      </c>
      <c r="C5" s="19" t="s">
        <v>14</v>
      </c>
      <c r="D5" s="1">
        <v>1</v>
      </c>
      <c r="E5" s="10"/>
      <c r="F5" s="20"/>
      <c r="G5" s="20"/>
      <c r="H5"/>
      <c r="I5"/>
      <c r="J5"/>
      <c r="K5"/>
      <c r="L5"/>
      <c r="M5"/>
      <c r="N5"/>
      <c r="O5"/>
      <c r="P5"/>
      <c r="Q5"/>
      <c r="R5"/>
      <c r="S5"/>
    </row>
    <row r="6" spans="1:19" ht="177" customHeight="1">
      <c r="A6" s="17" t="s">
        <v>15</v>
      </c>
      <c r="B6" s="18" t="s">
        <v>16</v>
      </c>
      <c r="C6" s="19" t="s">
        <v>17</v>
      </c>
      <c r="D6" s="1">
        <v>0.5</v>
      </c>
      <c r="E6" s="10"/>
      <c r="F6" s="20"/>
      <c r="G6" s="20"/>
      <c r="H6"/>
      <c r="I6"/>
      <c r="J6"/>
      <c r="K6"/>
      <c r="L6"/>
      <c r="M6"/>
      <c r="N6"/>
      <c r="O6"/>
      <c r="P6"/>
      <c r="Q6"/>
      <c r="R6"/>
      <c r="S6"/>
    </row>
    <row r="7" spans="1:19" ht="144.94999999999999" customHeight="1">
      <c r="A7" s="13" t="s">
        <v>18</v>
      </c>
      <c r="B7" s="21" t="s">
        <v>19</v>
      </c>
      <c r="C7" s="22" t="s">
        <v>20</v>
      </c>
      <c r="D7" s="1">
        <v>0</v>
      </c>
      <c r="E7" s="10"/>
      <c r="F7" s="20" t="s">
        <v>21</v>
      </c>
      <c r="G7" s="20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 t="s">
        <v>32</v>
      </c>
      <c r="R7" t="s">
        <v>33</v>
      </c>
      <c r="S7" t="s">
        <v>34</v>
      </c>
    </row>
    <row r="8" spans="1:19" ht="156.6">
      <c r="A8" s="13" t="s">
        <v>35</v>
      </c>
      <c r="B8" s="21" t="s">
        <v>36</v>
      </c>
      <c r="C8" s="22" t="s">
        <v>37</v>
      </c>
      <c r="D8" s="1">
        <v>2</v>
      </c>
      <c r="E8" s="10"/>
      <c r="F8" s="23">
        <f>+D2</f>
        <v>11</v>
      </c>
      <c r="G8" s="23">
        <f>D5</f>
        <v>1</v>
      </c>
      <c r="H8" s="24">
        <f>D6</f>
        <v>0.5</v>
      </c>
      <c r="I8" s="24">
        <f>D7</f>
        <v>0</v>
      </c>
      <c r="J8" s="24">
        <f>D8</f>
        <v>2</v>
      </c>
      <c r="K8" s="24">
        <f>D9</f>
        <v>0.5</v>
      </c>
      <c r="L8" s="24">
        <f>D10</f>
        <v>0</v>
      </c>
      <c r="M8" s="24">
        <f>D11</f>
        <v>1</v>
      </c>
      <c r="N8" s="24">
        <f>D14</f>
        <v>0</v>
      </c>
      <c r="O8" s="24">
        <f>D15</f>
        <v>4</v>
      </c>
      <c r="P8" s="24">
        <f>D16</f>
        <v>2</v>
      </c>
      <c r="Q8" s="24">
        <f>D17</f>
        <v>0</v>
      </c>
      <c r="R8" s="24" t="str">
        <f>+D18</f>
        <v>P</v>
      </c>
      <c r="S8" s="24" t="str">
        <f>D12</f>
        <v>C</v>
      </c>
    </row>
    <row r="9" spans="1:19" ht="147">
      <c r="A9" s="25" t="s">
        <v>38</v>
      </c>
      <c r="B9" s="26" t="s">
        <v>39</v>
      </c>
      <c r="C9" s="27" t="s">
        <v>40</v>
      </c>
      <c r="D9" s="1">
        <v>0.5</v>
      </c>
      <c r="E9" s="10"/>
      <c r="F9"/>
      <c r="G9"/>
      <c r="H9"/>
      <c r="I9"/>
      <c r="J9"/>
      <c r="K9"/>
      <c r="L9"/>
      <c r="M9"/>
      <c r="N9"/>
      <c r="O9"/>
      <c r="P9"/>
      <c r="Q9"/>
      <c r="R9"/>
      <c r="S9"/>
    </row>
    <row r="10" spans="1:19" s="7" customFormat="1" ht="189">
      <c r="A10" s="28" t="s">
        <v>41</v>
      </c>
      <c r="B10" s="29" t="s">
        <v>42</v>
      </c>
      <c r="C10" s="30" t="s">
        <v>43</v>
      </c>
      <c r="D10" s="3">
        <v>0</v>
      </c>
      <c r="E10" s="12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</row>
    <row r="11" spans="1:19" ht="92.45">
      <c r="A11" s="31" t="s">
        <v>44</v>
      </c>
      <c r="B11" s="18" t="s">
        <v>45</v>
      </c>
      <c r="C11" s="19" t="s">
        <v>46</v>
      </c>
      <c r="D11" s="1">
        <v>1</v>
      </c>
      <c r="E11" s="10"/>
      <c r="F11"/>
      <c r="G11"/>
      <c r="H11"/>
      <c r="I11"/>
      <c r="J11"/>
      <c r="K11"/>
      <c r="L11"/>
      <c r="M11"/>
      <c r="N11"/>
      <c r="O11"/>
      <c r="P11"/>
      <c r="Q11"/>
      <c r="R11"/>
      <c r="S11"/>
    </row>
    <row r="12" spans="1:19" ht="55.5">
      <c r="A12" s="31" t="s">
        <v>47</v>
      </c>
      <c r="B12" s="18" t="s">
        <v>48</v>
      </c>
      <c r="C12" s="19" t="s">
        <v>49</v>
      </c>
      <c r="D12" s="1" t="s">
        <v>78</v>
      </c>
      <c r="E12" s="10"/>
      <c r="F12"/>
      <c r="G12"/>
      <c r="H12"/>
      <c r="I12"/>
      <c r="J12"/>
      <c r="K12"/>
      <c r="L12"/>
      <c r="M12"/>
      <c r="N12"/>
      <c r="O12"/>
      <c r="P12"/>
      <c r="Q12"/>
      <c r="R12"/>
      <c r="S12"/>
    </row>
    <row r="13" spans="1:19" ht="54.75">
      <c r="A13" s="32" t="s">
        <v>51</v>
      </c>
      <c r="B13" s="38" t="s">
        <v>79</v>
      </c>
      <c r="C13" s="38"/>
      <c r="D13" s="38"/>
      <c r="E13" s="10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19" ht="36.950000000000003">
      <c r="A14" s="17" t="s">
        <v>52</v>
      </c>
      <c r="B14" s="18" t="s">
        <v>53</v>
      </c>
      <c r="C14" s="19" t="s">
        <v>54</v>
      </c>
      <c r="D14" s="2">
        <v>0</v>
      </c>
      <c r="E14" s="10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19" ht="111">
      <c r="A15" s="17" t="s">
        <v>55</v>
      </c>
      <c r="B15" s="18" t="s">
        <v>56</v>
      </c>
      <c r="C15" s="19" t="s">
        <v>57</v>
      </c>
      <c r="D15" s="2">
        <v>4</v>
      </c>
      <c r="E15" s="10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19" ht="36.950000000000003">
      <c r="A16" s="13" t="s">
        <v>58</v>
      </c>
      <c r="B16" s="21" t="s">
        <v>53</v>
      </c>
      <c r="C16" s="22" t="s">
        <v>20</v>
      </c>
      <c r="D16" s="2">
        <v>2</v>
      </c>
      <c r="E16" s="10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ht="92.45">
      <c r="A17" s="13" t="s">
        <v>59</v>
      </c>
      <c r="B17" s="21" t="s">
        <v>60</v>
      </c>
      <c r="C17" s="22" t="s">
        <v>61</v>
      </c>
      <c r="D17" s="2">
        <v>0</v>
      </c>
      <c r="E17" s="10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ht="36.950000000000003">
      <c r="A18" s="17" t="s">
        <v>62</v>
      </c>
      <c r="B18" s="18" t="s">
        <v>63</v>
      </c>
      <c r="C18" s="19" t="s">
        <v>64</v>
      </c>
      <c r="D18" s="2" t="s">
        <v>65</v>
      </c>
      <c r="E18" s="10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</sheetData>
  <sheetProtection sheet="1" objects="1" scenarios="1"/>
  <mergeCells count="5">
    <mergeCell ref="A1:D1"/>
    <mergeCell ref="B2:C2"/>
    <mergeCell ref="D2:D3"/>
    <mergeCell ref="B3:C3"/>
    <mergeCell ref="B13:D1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5C00F-920B-4671-AD66-EEAEA3EED19B}">
  <sheetPr>
    <tabColor rgb="FFFFFF00"/>
  </sheetPr>
  <dimension ref="A1:S18"/>
  <sheetViews>
    <sheetView topLeftCell="B10" zoomScale="80" zoomScaleNormal="80" workbookViewId="0">
      <selection activeCell="B13" sqref="B13:D13"/>
    </sheetView>
  </sheetViews>
  <sheetFormatPr defaultColWidth="11" defaultRowHeight="18.600000000000001"/>
  <cols>
    <col min="1" max="1" width="32.625" style="8" customWidth="1"/>
    <col min="2" max="2" width="82" style="6" customWidth="1"/>
    <col min="3" max="3" width="6.625" style="9" customWidth="1"/>
    <col min="4" max="4" width="11" style="9"/>
    <col min="5" max="5" width="11" style="4"/>
    <col min="6" max="16384" width="11" style="5"/>
  </cols>
  <sheetData>
    <row r="1" spans="1:19" ht="30.95">
      <c r="A1" s="33" t="s">
        <v>0</v>
      </c>
      <c r="B1" s="33"/>
      <c r="C1" s="33"/>
      <c r="D1" s="33"/>
      <c r="E1" s="10" t="s">
        <v>1</v>
      </c>
      <c r="F1">
        <f>(D5+D6)</f>
        <v>6</v>
      </c>
      <c r="G1"/>
      <c r="H1"/>
      <c r="I1"/>
      <c r="J1"/>
      <c r="K1"/>
      <c r="L1"/>
      <c r="M1"/>
      <c r="N1"/>
      <c r="O1"/>
      <c r="P1"/>
      <c r="Q1"/>
      <c r="R1"/>
      <c r="S1"/>
    </row>
    <row r="2" spans="1:19" ht="30.95">
      <c r="A2" s="11" t="s">
        <v>2</v>
      </c>
      <c r="B2" s="34" t="s">
        <v>80</v>
      </c>
      <c r="C2" s="34"/>
      <c r="D2" s="35">
        <f>D5+D6+D7+D8+D9+D10+D11+D14+D15+D16+D17</f>
        <v>28</v>
      </c>
      <c r="E2" s="12" t="s">
        <v>4</v>
      </c>
      <c r="F2">
        <f>D7+D8</f>
        <v>2</v>
      </c>
      <c r="G2"/>
      <c r="H2"/>
      <c r="I2"/>
      <c r="J2"/>
      <c r="K2"/>
      <c r="L2"/>
      <c r="M2"/>
      <c r="N2"/>
      <c r="O2"/>
      <c r="P2"/>
      <c r="Q2"/>
      <c r="R2"/>
      <c r="S2"/>
    </row>
    <row r="3" spans="1:19" ht="26.1" customHeight="1">
      <c r="A3" s="13" t="s">
        <v>5</v>
      </c>
      <c r="B3" s="37" t="s">
        <v>6</v>
      </c>
      <c r="C3" s="37"/>
      <c r="D3" s="36"/>
      <c r="E3" s="12" t="s">
        <v>7</v>
      </c>
      <c r="F3">
        <f>D9</f>
        <v>2</v>
      </c>
      <c r="G3"/>
      <c r="H3"/>
      <c r="I3"/>
      <c r="J3"/>
      <c r="K3"/>
      <c r="L3"/>
      <c r="M3"/>
      <c r="N3"/>
      <c r="O3"/>
      <c r="P3"/>
      <c r="Q3"/>
      <c r="R3"/>
      <c r="S3"/>
    </row>
    <row r="4" spans="1:19" ht="21">
      <c r="A4" s="13" t="s">
        <v>8</v>
      </c>
      <c r="B4" s="14" t="s">
        <v>9</v>
      </c>
      <c r="C4" s="15" t="s">
        <v>10</v>
      </c>
      <c r="D4" s="16" t="s">
        <v>11</v>
      </c>
      <c r="E4" s="10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 spans="1:19" ht="74.099999999999994">
      <c r="A5" s="17" t="s">
        <v>12</v>
      </c>
      <c r="B5" s="18" t="s">
        <v>13</v>
      </c>
      <c r="C5" s="19" t="s">
        <v>14</v>
      </c>
      <c r="D5" s="1">
        <v>2</v>
      </c>
      <c r="E5" s="10"/>
      <c r="F5" s="20"/>
      <c r="G5" s="20"/>
      <c r="H5"/>
      <c r="I5"/>
      <c r="J5"/>
      <c r="K5"/>
      <c r="L5"/>
      <c r="M5"/>
      <c r="N5"/>
      <c r="O5"/>
      <c r="P5"/>
      <c r="Q5"/>
      <c r="R5"/>
      <c r="S5"/>
    </row>
    <row r="6" spans="1:19" ht="177" customHeight="1">
      <c r="A6" s="17" t="s">
        <v>15</v>
      </c>
      <c r="B6" s="18" t="s">
        <v>16</v>
      </c>
      <c r="C6" s="19" t="s">
        <v>17</v>
      </c>
      <c r="D6" s="1">
        <v>4</v>
      </c>
      <c r="E6" s="10"/>
      <c r="F6" s="20"/>
      <c r="G6" s="20"/>
      <c r="H6"/>
      <c r="I6"/>
      <c r="J6"/>
      <c r="K6"/>
      <c r="L6"/>
      <c r="M6"/>
      <c r="N6"/>
      <c r="O6"/>
      <c r="P6"/>
      <c r="Q6"/>
      <c r="R6"/>
      <c r="S6"/>
    </row>
    <row r="7" spans="1:19" ht="144.94999999999999" customHeight="1">
      <c r="A7" s="13" t="s">
        <v>18</v>
      </c>
      <c r="B7" s="21" t="s">
        <v>19</v>
      </c>
      <c r="C7" s="22" t="s">
        <v>20</v>
      </c>
      <c r="D7" s="1">
        <v>0</v>
      </c>
      <c r="E7" s="10"/>
      <c r="F7" s="20" t="s">
        <v>21</v>
      </c>
      <c r="G7" s="20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 t="s">
        <v>32</v>
      </c>
      <c r="R7" t="s">
        <v>33</v>
      </c>
      <c r="S7" t="s">
        <v>34</v>
      </c>
    </row>
    <row r="8" spans="1:19" ht="156.6">
      <c r="A8" s="13" t="s">
        <v>35</v>
      </c>
      <c r="B8" s="21" t="s">
        <v>36</v>
      </c>
      <c r="C8" s="22" t="s">
        <v>37</v>
      </c>
      <c r="D8" s="1">
        <v>2</v>
      </c>
      <c r="E8" s="10"/>
      <c r="F8" s="23">
        <f>+D2</f>
        <v>28</v>
      </c>
      <c r="G8" s="23">
        <f>D5</f>
        <v>2</v>
      </c>
      <c r="H8" s="24">
        <f>D6</f>
        <v>4</v>
      </c>
      <c r="I8" s="24">
        <f>D7</f>
        <v>0</v>
      </c>
      <c r="J8" s="24">
        <f>D8</f>
        <v>2</v>
      </c>
      <c r="K8" s="24">
        <f>D9</f>
        <v>2</v>
      </c>
      <c r="L8" s="24">
        <f>D10</f>
        <v>2</v>
      </c>
      <c r="M8" s="24">
        <f>D11</f>
        <v>4</v>
      </c>
      <c r="N8" s="24">
        <f>D14</f>
        <v>4</v>
      </c>
      <c r="O8" s="24">
        <f>D15</f>
        <v>2</v>
      </c>
      <c r="P8" s="24">
        <f>D16</f>
        <v>2</v>
      </c>
      <c r="Q8" s="24">
        <f>D17</f>
        <v>4</v>
      </c>
      <c r="R8" s="24" t="str">
        <f>+D18</f>
        <v>P</v>
      </c>
      <c r="S8" s="24" t="str">
        <f>D12</f>
        <v>A</v>
      </c>
    </row>
    <row r="9" spans="1:19" ht="147">
      <c r="A9" s="25" t="s">
        <v>38</v>
      </c>
      <c r="B9" s="26" t="s">
        <v>39</v>
      </c>
      <c r="C9" s="27" t="s">
        <v>40</v>
      </c>
      <c r="D9" s="1">
        <v>2</v>
      </c>
      <c r="E9" s="10"/>
      <c r="F9"/>
      <c r="G9"/>
      <c r="H9"/>
      <c r="I9"/>
      <c r="J9"/>
      <c r="K9"/>
      <c r="L9"/>
      <c r="M9"/>
      <c r="N9"/>
      <c r="O9"/>
      <c r="P9"/>
      <c r="Q9"/>
      <c r="R9"/>
      <c r="S9"/>
    </row>
    <row r="10" spans="1:19" s="7" customFormat="1" ht="189">
      <c r="A10" s="28" t="s">
        <v>41</v>
      </c>
      <c r="B10" s="29" t="s">
        <v>42</v>
      </c>
      <c r="C10" s="30" t="s">
        <v>43</v>
      </c>
      <c r="D10" s="3">
        <v>2</v>
      </c>
      <c r="E10" s="12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</row>
    <row r="11" spans="1:19" ht="92.45">
      <c r="A11" s="31" t="s">
        <v>44</v>
      </c>
      <c r="B11" s="18" t="s">
        <v>45</v>
      </c>
      <c r="C11" s="19" t="s">
        <v>46</v>
      </c>
      <c r="D11" s="1">
        <v>4</v>
      </c>
      <c r="E11" s="10"/>
      <c r="F11"/>
      <c r="G11"/>
      <c r="H11"/>
      <c r="I11"/>
      <c r="J11"/>
      <c r="K11"/>
      <c r="L11"/>
      <c r="M11"/>
      <c r="N11"/>
      <c r="O11"/>
      <c r="P11"/>
      <c r="Q11"/>
      <c r="R11"/>
      <c r="S11"/>
    </row>
    <row r="12" spans="1:19" ht="55.5">
      <c r="A12" s="31" t="s">
        <v>47</v>
      </c>
      <c r="B12" s="18" t="s">
        <v>48</v>
      </c>
      <c r="C12" s="19" t="s">
        <v>49</v>
      </c>
      <c r="D12" s="1" t="s">
        <v>81</v>
      </c>
      <c r="E12" s="10"/>
      <c r="F12"/>
      <c r="G12"/>
      <c r="H12"/>
      <c r="I12"/>
      <c r="J12"/>
      <c r="K12"/>
      <c r="L12"/>
      <c r="M12"/>
      <c r="N12"/>
      <c r="O12"/>
      <c r="P12"/>
      <c r="Q12"/>
      <c r="R12"/>
      <c r="S12"/>
    </row>
    <row r="13" spans="1:19" ht="54.75">
      <c r="A13" s="32" t="s">
        <v>51</v>
      </c>
      <c r="B13" s="38" t="s">
        <v>82</v>
      </c>
      <c r="C13" s="38"/>
      <c r="D13" s="38"/>
      <c r="E13" s="10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19" ht="36.950000000000003">
      <c r="A14" s="17" t="s">
        <v>52</v>
      </c>
      <c r="B14" s="18" t="s">
        <v>53</v>
      </c>
      <c r="C14" s="19" t="s">
        <v>54</v>
      </c>
      <c r="D14" s="2">
        <v>4</v>
      </c>
      <c r="E14" s="10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19" ht="111">
      <c r="A15" s="17" t="s">
        <v>55</v>
      </c>
      <c r="B15" s="18" t="s">
        <v>56</v>
      </c>
      <c r="C15" s="19" t="s">
        <v>57</v>
      </c>
      <c r="D15" s="2">
        <v>2</v>
      </c>
      <c r="E15" s="10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19" ht="36.950000000000003">
      <c r="A16" s="13" t="s">
        <v>58</v>
      </c>
      <c r="B16" s="21" t="s">
        <v>53</v>
      </c>
      <c r="C16" s="22" t="s">
        <v>20</v>
      </c>
      <c r="D16" s="2">
        <v>2</v>
      </c>
      <c r="E16" s="10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ht="92.45">
      <c r="A17" s="13" t="s">
        <v>59</v>
      </c>
      <c r="B17" s="21" t="s">
        <v>60</v>
      </c>
      <c r="C17" s="22" t="s">
        <v>61</v>
      </c>
      <c r="D17" s="2">
        <v>4</v>
      </c>
      <c r="E17" s="10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ht="36.950000000000003">
      <c r="A18" s="17" t="s">
        <v>62</v>
      </c>
      <c r="B18" s="18" t="s">
        <v>63</v>
      </c>
      <c r="C18" s="19" t="s">
        <v>64</v>
      </c>
      <c r="D18" s="2" t="s">
        <v>65</v>
      </c>
      <c r="E18" s="10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</sheetData>
  <sheetProtection sheet="1" objects="1" scenarios="1"/>
  <mergeCells count="5">
    <mergeCell ref="A1:D1"/>
    <mergeCell ref="B2:C2"/>
    <mergeCell ref="D2:D3"/>
    <mergeCell ref="B3:C3"/>
    <mergeCell ref="B13:D13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690A-BD27-4489-919D-29DBD1495DC8}">
  <sheetPr>
    <tabColor rgb="FFFFFF00"/>
  </sheetPr>
  <dimension ref="A1:S18"/>
  <sheetViews>
    <sheetView topLeftCell="B12" zoomScale="85" zoomScaleNormal="85" workbookViewId="0">
      <selection activeCell="D12" sqref="D12"/>
    </sheetView>
  </sheetViews>
  <sheetFormatPr defaultColWidth="11" defaultRowHeight="18.600000000000001"/>
  <cols>
    <col min="1" max="1" width="32.625" style="8" customWidth="1"/>
    <col min="2" max="2" width="82" style="6" customWidth="1"/>
    <col min="3" max="3" width="6.625" style="9" customWidth="1"/>
    <col min="4" max="4" width="11" style="9"/>
    <col min="5" max="5" width="11" style="4"/>
    <col min="6" max="16384" width="11" style="5"/>
  </cols>
  <sheetData>
    <row r="1" spans="1:19" ht="30.95">
      <c r="A1" s="33" t="s">
        <v>0</v>
      </c>
      <c r="B1" s="33"/>
      <c r="C1" s="33"/>
      <c r="D1" s="33"/>
      <c r="E1" s="10" t="s">
        <v>1</v>
      </c>
      <c r="F1">
        <f>(D5+D6)</f>
        <v>3</v>
      </c>
      <c r="G1"/>
      <c r="H1"/>
      <c r="I1"/>
      <c r="J1"/>
      <c r="K1"/>
      <c r="L1"/>
      <c r="M1"/>
      <c r="N1"/>
      <c r="O1"/>
      <c r="P1"/>
      <c r="Q1"/>
      <c r="R1"/>
      <c r="S1"/>
    </row>
    <row r="2" spans="1:19" ht="30.95">
      <c r="A2" s="11" t="s">
        <v>2</v>
      </c>
      <c r="B2" s="34" t="s">
        <v>83</v>
      </c>
      <c r="C2" s="34"/>
      <c r="D2" s="35">
        <f>D5+D6+D7+D8+D9+D10+D11+D14+D15+D16+D17</f>
        <v>22.25</v>
      </c>
      <c r="E2" s="12" t="s">
        <v>4</v>
      </c>
      <c r="F2">
        <f>D7+D8</f>
        <v>2</v>
      </c>
      <c r="G2"/>
      <c r="H2"/>
      <c r="I2"/>
      <c r="J2"/>
      <c r="K2"/>
      <c r="L2"/>
      <c r="M2"/>
      <c r="N2"/>
      <c r="O2"/>
      <c r="P2"/>
      <c r="Q2"/>
      <c r="R2"/>
      <c r="S2"/>
    </row>
    <row r="3" spans="1:19" ht="26.1" customHeight="1">
      <c r="A3" s="13" t="s">
        <v>5</v>
      </c>
      <c r="B3" s="37" t="s">
        <v>6</v>
      </c>
      <c r="C3" s="37"/>
      <c r="D3" s="36"/>
      <c r="E3" s="12" t="s">
        <v>7</v>
      </c>
      <c r="F3">
        <f>D9</f>
        <v>2</v>
      </c>
      <c r="G3"/>
      <c r="H3"/>
      <c r="I3"/>
      <c r="J3"/>
      <c r="K3"/>
      <c r="L3"/>
      <c r="M3"/>
      <c r="N3"/>
      <c r="O3"/>
      <c r="P3"/>
      <c r="Q3"/>
      <c r="R3"/>
      <c r="S3"/>
    </row>
    <row r="4" spans="1:19" ht="21">
      <c r="A4" s="13" t="s">
        <v>8</v>
      </c>
      <c r="B4" s="14" t="s">
        <v>9</v>
      </c>
      <c r="C4" s="15" t="s">
        <v>10</v>
      </c>
      <c r="D4" s="16" t="s">
        <v>11</v>
      </c>
      <c r="E4" s="10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 spans="1:19" ht="74.099999999999994">
      <c r="A5" s="17" t="s">
        <v>12</v>
      </c>
      <c r="B5" s="18" t="s">
        <v>13</v>
      </c>
      <c r="C5" s="19" t="s">
        <v>14</v>
      </c>
      <c r="D5" s="1">
        <v>2</v>
      </c>
      <c r="E5" s="10"/>
      <c r="F5" s="20"/>
      <c r="G5" s="20"/>
      <c r="H5"/>
      <c r="I5"/>
      <c r="J5"/>
      <c r="K5"/>
      <c r="L5"/>
      <c r="M5"/>
      <c r="N5"/>
      <c r="O5"/>
      <c r="P5"/>
      <c r="Q5"/>
      <c r="R5"/>
      <c r="S5"/>
    </row>
    <row r="6" spans="1:19" ht="177" customHeight="1">
      <c r="A6" s="17" t="s">
        <v>15</v>
      </c>
      <c r="B6" s="18" t="s">
        <v>16</v>
      </c>
      <c r="C6" s="19" t="s">
        <v>17</v>
      </c>
      <c r="D6" s="1">
        <v>1</v>
      </c>
      <c r="E6" s="10"/>
      <c r="F6" s="20"/>
      <c r="G6" s="20"/>
      <c r="H6"/>
      <c r="I6"/>
      <c r="J6"/>
      <c r="K6"/>
      <c r="L6"/>
      <c r="M6"/>
      <c r="N6"/>
      <c r="O6"/>
      <c r="P6"/>
      <c r="Q6"/>
      <c r="R6"/>
      <c r="S6"/>
    </row>
    <row r="7" spans="1:19" ht="144.94999999999999" customHeight="1">
      <c r="A7" s="13" t="s">
        <v>18</v>
      </c>
      <c r="B7" s="21" t="s">
        <v>19</v>
      </c>
      <c r="C7" s="22" t="s">
        <v>20</v>
      </c>
      <c r="D7" s="1">
        <v>0</v>
      </c>
      <c r="E7" s="10"/>
      <c r="F7" s="20" t="s">
        <v>21</v>
      </c>
      <c r="G7" s="20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 t="s">
        <v>32</v>
      </c>
      <c r="R7" t="s">
        <v>33</v>
      </c>
      <c r="S7" t="s">
        <v>34</v>
      </c>
    </row>
    <row r="8" spans="1:19" ht="156.6">
      <c r="A8" s="13" t="s">
        <v>35</v>
      </c>
      <c r="B8" s="21" t="s">
        <v>36</v>
      </c>
      <c r="C8" s="22" t="s">
        <v>37</v>
      </c>
      <c r="D8" s="1">
        <v>2</v>
      </c>
      <c r="E8" s="10"/>
      <c r="F8" s="23">
        <f>+D2</f>
        <v>22.25</v>
      </c>
      <c r="G8" s="23">
        <f>D5</f>
        <v>2</v>
      </c>
      <c r="H8" s="24">
        <f>D6</f>
        <v>1</v>
      </c>
      <c r="I8" s="24">
        <f>D7</f>
        <v>0</v>
      </c>
      <c r="J8" s="24">
        <f>D8</f>
        <v>2</v>
      </c>
      <c r="K8" s="24">
        <f>D9</f>
        <v>2</v>
      </c>
      <c r="L8" s="24">
        <f>D10</f>
        <v>0</v>
      </c>
      <c r="M8" s="24">
        <f>D11</f>
        <v>3</v>
      </c>
      <c r="N8" s="24">
        <f>D14</f>
        <v>4</v>
      </c>
      <c r="O8" s="24">
        <f>D15</f>
        <v>2.25</v>
      </c>
      <c r="P8" s="24">
        <f>D16</f>
        <v>2</v>
      </c>
      <c r="Q8" s="24">
        <f>D17</f>
        <v>4</v>
      </c>
      <c r="R8" s="24" t="str">
        <f>+D18</f>
        <v>P</v>
      </c>
      <c r="S8" s="24" t="str">
        <f>D12</f>
        <v>B</v>
      </c>
    </row>
    <row r="9" spans="1:19" ht="147">
      <c r="A9" s="25" t="s">
        <v>38</v>
      </c>
      <c r="B9" s="26" t="s">
        <v>39</v>
      </c>
      <c r="C9" s="27" t="s">
        <v>40</v>
      </c>
      <c r="D9" s="1">
        <v>2</v>
      </c>
      <c r="E9" s="10"/>
      <c r="F9"/>
      <c r="G9"/>
      <c r="H9"/>
      <c r="I9"/>
      <c r="J9"/>
      <c r="K9"/>
      <c r="L9"/>
      <c r="M9"/>
      <c r="N9"/>
      <c r="O9"/>
      <c r="P9"/>
      <c r="Q9"/>
      <c r="R9"/>
      <c r="S9"/>
    </row>
    <row r="10" spans="1:19" s="7" customFormat="1" ht="189">
      <c r="A10" s="28" t="s">
        <v>41</v>
      </c>
      <c r="B10" s="29" t="s">
        <v>42</v>
      </c>
      <c r="C10" s="30" t="s">
        <v>43</v>
      </c>
      <c r="D10" s="3">
        <v>0</v>
      </c>
      <c r="E10" s="12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</row>
    <row r="11" spans="1:19" ht="92.45">
      <c r="A11" s="31" t="s">
        <v>44</v>
      </c>
      <c r="B11" s="18" t="s">
        <v>45</v>
      </c>
      <c r="C11" s="19" t="s">
        <v>46</v>
      </c>
      <c r="D11" s="1">
        <v>3</v>
      </c>
      <c r="E11" s="10"/>
      <c r="F11"/>
      <c r="G11"/>
      <c r="H11"/>
      <c r="I11"/>
      <c r="J11"/>
      <c r="K11"/>
      <c r="L11"/>
      <c r="M11"/>
      <c r="N11"/>
      <c r="O11"/>
      <c r="P11"/>
      <c r="Q11"/>
      <c r="R11"/>
      <c r="S11"/>
    </row>
    <row r="12" spans="1:19" ht="55.5">
      <c r="A12" s="31" t="s">
        <v>47</v>
      </c>
      <c r="B12" s="18" t="s">
        <v>48</v>
      </c>
      <c r="C12" s="19" t="s">
        <v>49</v>
      </c>
      <c r="D12" s="1" t="s">
        <v>50</v>
      </c>
      <c r="E12" s="10"/>
      <c r="F12"/>
      <c r="G12"/>
      <c r="H12"/>
      <c r="I12"/>
      <c r="J12"/>
      <c r="K12"/>
      <c r="L12"/>
      <c r="M12"/>
      <c r="N12"/>
      <c r="O12"/>
      <c r="P12"/>
      <c r="Q12"/>
      <c r="R12"/>
      <c r="S12"/>
    </row>
    <row r="13" spans="1:19" ht="45">
      <c r="A13" s="32" t="s">
        <v>51</v>
      </c>
      <c r="B13" s="38"/>
      <c r="C13" s="38"/>
      <c r="D13" s="38"/>
      <c r="E13" s="10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19" ht="36.950000000000003">
      <c r="A14" s="17" t="s">
        <v>52</v>
      </c>
      <c r="B14" s="18" t="s">
        <v>53</v>
      </c>
      <c r="C14" s="19" t="s">
        <v>54</v>
      </c>
      <c r="D14" s="2">
        <v>4</v>
      </c>
      <c r="E14" s="10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19" ht="111">
      <c r="A15" s="17" t="s">
        <v>55</v>
      </c>
      <c r="B15" s="18" t="s">
        <v>56</v>
      </c>
      <c r="C15" s="19" t="s">
        <v>57</v>
      </c>
      <c r="D15" s="2">
        <v>2.25</v>
      </c>
      <c r="E15" s="10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19" ht="36.950000000000003">
      <c r="A16" s="13" t="s">
        <v>58</v>
      </c>
      <c r="B16" s="21" t="s">
        <v>53</v>
      </c>
      <c r="C16" s="22" t="s">
        <v>20</v>
      </c>
      <c r="D16" s="2">
        <v>2</v>
      </c>
      <c r="E16" s="10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ht="92.45">
      <c r="A17" s="13" t="s">
        <v>59</v>
      </c>
      <c r="B17" s="21" t="s">
        <v>60</v>
      </c>
      <c r="C17" s="22" t="s">
        <v>61</v>
      </c>
      <c r="D17" s="2">
        <v>4</v>
      </c>
      <c r="E17" s="10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ht="36.950000000000003">
      <c r="A18" s="17" t="s">
        <v>62</v>
      </c>
      <c r="B18" s="18" t="s">
        <v>63</v>
      </c>
      <c r="C18" s="19" t="s">
        <v>64</v>
      </c>
      <c r="D18" s="2" t="s">
        <v>65</v>
      </c>
      <c r="E18" s="10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</sheetData>
  <sheetProtection sheet="1" objects="1" scenarios="1"/>
  <mergeCells count="5">
    <mergeCell ref="A1:D1"/>
    <mergeCell ref="B2:C2"/>
    <mergeCell ref="D2:D3"/>
    <mergeCell ref="B3:C3"/>
    <mergeCell ref="B13:D13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7B8F7-8CFA-4787-8573-79AB345F45FB}">
  <sheetPr>
    <tabColor rgb="FFFFFF00"/>
  </sheetPr>
  <dimension ref="A1:S18"/>
  <sheetViews>
    <sheetView topLeftCell="B10" zoomScale="85" zoomScaleNormal="85" workbookViewId="0">
      <selection activeCell="B13" sqref="B13:D13"/>
    </sheetView>
  </sheetViews>
  <sheetFormatPr defaultColWidth="11" defaultRowHeight="18.600000000000001"/>
  <cols>
    <col min="1" max="1" width="32.625" style="8" customWidth="1"/>
    <col min="2" max="2" width="82" style="6" customWidth="1"/>
    <col min="3" max="3" width="6.625" style="9" customWidth="1"/>
    <col min="4" max="4" width="11" style="9"/>
    <col min="5" max="5" width="11" style="4"/>
    <col min="6" max="16384" width="11" style="5"/>
  </cols>
  <sheetData>
    <row r="1" spans="1:19" ht="30.95">
      <c r="A1" s="33" t="s">
        <v>0</v>
      </c>
      <c r="B1" s="33"/>
      <c r="C1" s="33"/>
      <c r="D1" s="33"/>
      <c r="E1" s="10" t="s">
        <v>1</v>
      </c>
      <c r="F1">
        <f>(D5+D6)</f>
        <v>4</v>
      </c>
      <c r="G1"/>
      <c r="H1"/>
      <c r="I1"/>
      <c r="J1"/>
      <c r="K1"/>
      <c r="L1"/>
      <c r="M1"/>
      <c r="N1"/>
      <c r="O1"/>
      <c r="P1"/>
      <c r="Q1"/>
      <c r="R1"/>
      <c r="S1"/>
    </row>
    <row r="2" spans="1:19" ht="30.95">
      <c r="A2" s="11" t="s">
        <v>2</v>
      </c>
      <c r="B2" s="34" t="s">
        <v>84</v>
      </c>
      <c r="C2" s="34"/>
      <c r="D2" s="35">
        <f>D5+D6+D7+D8+D9+D10+D11+D14+D15+D16+D17</f>
        <v>28.25</v>
      </c>
      <c r="E2" s="12" t="s">
        <v>4</v>
      </c>
      <c r="F2">
        <f>D7+D8</f>
        <v>3</v>
      </c>
      <c r="G2"/>
      <c r="H2"/>
      <c r="I2"/>
      <c r="J2"/>
      <c r="K2"/>
      <c r="L2"/>
      <c r="M2"/>
      <c r="N2"/>
      <c r="O2"/>
      <c r="P2"/>
      <c r="Q2"/>
      <c r="R2"/>
      <c r="S2"/>
    </row>
    <row r="3" spans="1:19" ht="26.1" customHeight="1">
      <c r="A3" s="13" t="s">
        <v>5</v>
      </c>
      <c r="B3" s="37" t="s">
        <v>6</v>
      </c>
      <c r="C3" s="37"/>
      <c r="D3" s="36"/>
      <c r="E3" s="12" t="s">
        <v>7</v>
      </c>
      <c r="F3">
        <f>D9</f>
        <v>2</v>
      </c>
      <c r="G3"/>
      <c r="H3"/>
      <c r="I3"/>
      <c r="J3"/>
      <c r="K3"/>
      <c r="L3"/>
      <c r="M3"/>
      <c r="N3"/>
      <c r="O3"/>
      <c r="P3"/>
      <c r="Q3"/>
      <c r="R3"/>
      <c r="S3"/>
    </row>
    <row r="4" spans="1:19" ht="21">
      <c r="A4" s="13" t="s">
        <v>8</v>
      </c>
      <c r="B4" s="14" t="s">
        <v>9</v>
      </c>
      <c r="C4" s="15" t="s">
        <v>10</v>
      </c>
      <c r="D4" s="16" t="s">
        <v>11</v>
      </c>
      <c r="E4" s="10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 spans="1:19" ht="74.099999999999994">
      <c r="A5" s="17" t="s">
        <v>12</v>
      </c>
      <c r="B5" s="18" t="s">
        <v>13</v>
      </c>
      <c r="C5" s="19" t="s">
        <v>14</v>
      </c>
      <c r="D5" s="1">
        <v>2</v>
      </c>
      <c r="E5" s="10"/>
      <c r="F5" s="20"/>
      <c r="G5" s="20"/>
      <c r="H5"/>
      <c r="I5"/>
      <c r="J5"/>
      <c r="K5"/>
      <c r="L5"/>
      <c r="M5"/>
      <c r="N5"/>
      <c r="O5"/>
      <c r="P5"/>
      <c r="Q5"/>
      <c r="R5"/>
      <c r="S5"/>
    </row>
    <row r="6" spans="1:19" ht="177" customHeight="1">
      <c r="A6" s="17" t="s">
        <v>15</v>
      </c>
      <c r="B6" s="18" t="s">
        <v>16</v>
      </c>
      <c r="C6" s="19" t="s">
        <v>17</v>
      </c>
      <c r="D6" s="1">
        <v>2</v>
      </c>
      <c r="E6" s="10"/>
      <c r="F6" s="20"/>
      <c r="G6" s="20"/>
      <c r="H6"/>
      <c r="I6"/>
      <c r="J6"/>
      <c r="K6"/>
      <c r="L6"/>
      <c r="M6"/>
      <c r="N6"/>
      <c r="O6"/>
      <c r="P6"/>
      <c r="Q6"/>
      <c r="R6"/>
      <c r="S6"/>
    </row>
    <row r="7" spans="1:19" ht="144.94999999999999" customHeight="1">
      <c r="A7" s="13" t="s">
        <v>18</v>
      </c>
      <c r="B7" s="21" t="s">
        <v>19</v>
      </c>
      <c r="C7" s="22" t="s">
        <v>20</v>
      </c>
      <c r="D7" s="1">
        <v>0</v>
      </c>
      <c r="E7" s="10"/>
      <c r="F7" s="20" t="s">
        <v>21</v>
      </c>
      <c r="G7" s="20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 t="s">
        <v>32</v>
      </c>
      <c r="R7" t="s">
        <v>33</v>
      </c>
      <c r="S7" t="s">
        <v>34</v>
      </c>
    </row>
    <row r="8" spans="1:19" ht="156.6">
      <c r="A8" s="13" t="s">
        <v>35</v>
      </c>
      <c r="B8" s="21" t="s">
        <v>36</v>
      </c>
      <c r="C8" s="22" t="s">
        <v>37</v>
      </c>
      <c r="D8" s="1">
        <v>3</v>
      </c>
      <c r="E8" s="10"/>
      <c r="F8" s="23">
        <f>+D2</f>
        <v>28.25</v>
      </c>
      <c r="G8" s="23">
        <f>D5</f>
        <v>2</v>
      </c>
      <c r="H8" s="24">
        <f>D6</f>
        <v>2</v>
      </c>
      <c r="I8" s="24">
        <f>D7</f>
        <v>0</v>
      </c>
      <c r="J8" s="24">
        <f>D8</f>
        <v>3</v>
      </c>
      <c r="K8" s="24">
        <f>D9</f>
        <v>2</v>
      </c>
      <c r="L8" s="24">
        <f>D10</f>
        <v>4</v>
      </c>
      <c r="M8" s="24">
        <f>D11</f>
        <v>3</v>
      </c>
      <c r="N8" s="24">
        <f>D14</f>
        <v>4</v>
      </c>
      <c r="O8" s="24">
        <f>D15</f>
        <v>2.25</v>
      </c>
      <c r="P8" s="24">
        <f>D16</f>
        <v>2</v>
      </c>
      <c r="Q8" s="24">
        <f>D17</f>
        <v>4</v>
      </c>
      <c r="R8" s="24" t="str">
        <f>+D18</f>
        <v>P</v>
      </c>
      <c r="S8" s="24" t="str">
        <f>D12</f>
        <v>A</v>
      </c>
    </row>
    <row r="9" spans="1:19" ht="147">
      <c r="A9" s="25" t="s">
        <v>38</v>
      </c>
      <c r="B9" s="26" t="s">
        <v>39</v>
      </c>
      <c r="C9" s="27" t="s">
        <v>40</v>
      </c>
      <c r="D9" s="1">
        <v>2</v>
      </c>
      <c r="E9" s="10"/>
      <c r="F9"/>
      <c r="G9"/>
      <c r="H9"/>
      <c r="I9"/>
      <c r="J9"/>
      <c r="K9"/>
      <c r="L9"/>
      <c r="M9"/>
      <c r="N9"/>
      <c r="O9"/>
      <c r="P9"/>
      <c r="Q9"/>
      <c r="R9"/>
      <c r="S9"/>
    </row>
    <row r="10" spans="1:19" s="7" customFormat="1" ht="189">
      <c r="A10" s="28" t="s">
        <v>41</v>
      </c>
      <c r="B10" s="29" t="s">
        <v>42</v>
      </c>
      <c r="C10" s="30" t="s">
        <v>43</v>
      </c>
      <c r="D10" s="3">
        <v>4</v>
      </c>
      <c r="E10" s="12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</row>
    <row r="11" spans="1:19" ht="92.45">
      <c r="A11" s="31" t="s">
        <v>44</v>
      </c>
      <c r="B11" s="18" t="s">
        <v>45</v>
      </c>
      <c r="C11" s="19" t="s">
        <v>46</v>
      </c>
      <c r="D11" s="1">
        <v>3</v>
      </c>
      <c r="E11" s="10"/>
      <c r="F11"/>
      <c r="G11"/>
      <c r="H11"/>
      <c r="I11"/>
      <c r="J11"/>
      <c r="K11"/>
      <c r="L11"/>
      <c r="M11"/>
      <c r="N11"/>
      <c r="O11"/>
      <c r="P11"/>
      <c r="Q11"/>
      <c r="R11"/>
      <c r="S11"/>
    </row>
    <row r="12" spans="1:19" ht="55.5">
      <c r="A12" s="31" t="s">
        <v>47</v>
      </c>
      <c r="B12" s="18" t="s">
        <v>48</v>
      </c>
      <c r="C12" s="19" t="s">
        <v>49</v>
      </c>
      <c r="D12" s="1" t="s">
        <v>81</v>
      </c>
      <c r="E12" s="10"/>
      <c r="F12"/>
      <c r="G12"/>
      <c r="H12"/>
      <c r="I12"/>
      <c r="J12"/>
      <c r="K12"/>
      <c r="L12"/>
      <c r="M12"/>
      <c r="N12"/>
      <c r="O12"/>
      <c r="P12"/>
      <c r="Q12"/>
      <c r="R12"/>
      <c r="S12"/>
    </row>
    <row r="13" spans="1:19" ht="54.75">
      <c r="A13" s="32" t="s">
        <v>51</v>
      </c>
      <c r="B13" s="38" t="s">
        <v>85</v>
      </c>
      <c r="C13" s="38"/>
      <c r="D13" s="38"/>
      <c r="E13" s="10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19" ht="36.950000000000003">
      <c r="A14" s="17" t="s">
        <v>52</v>
      </c>
      <c r="B14" s="18" t="s">
        <v>53</v>
      </c>
      <c r="C14" s="19" t="s">
        <v>54</v>
      </c>
      <c r="D14" s="2">
        <v>4</v>
      </c>
      <c r="E14" s="10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19" ht="111">
      <c r="A15" s="17" t="s">
        <v>55</v>
      </c>
      <c r="B15" s="18" t="s">
        <v>56</v>
      </c>
      <c r="C15" s="19" t="s">
        <v>57</v>
      </c>
      <c r="D15" s="2">
        <v>2.25</v>
      </c>
      <c r="E15" s="10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19" ht="36.950000000000003">
      <c r="A16" s="13" t="s">
        <v>58</v>
      </c>
      <c r="B16" s="21" t="s">
        <v>53</v>
      </c>
      <c r="C16" s="22" t="s">
        <v>20</v>
      </c>
      <c r="D16" s="2">
        <v>2</v>
      </c>
      <c r="E16" s="10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ht="92.45">
      <c r="A17" s="13" t="s">
        <v>59</v>
      </c>
      <c r="B17" s="21" t="s">
        <v>60</v>
      </c>
      <c r="C17" s="22" t="s">
        <v>61</v>
      </c>
      <c r="D17" s="2">
        <v>4</v>
      </c>
      <c r="E17" s="10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ht="36.950000000000003">
      <c r="A18" s="17" t="s">
        <v>62</v>
      </c>
      <c r="B18" s="18" t="s">
        <v>63</v>
      </c>
      <c r="C18" s="19" t="s">
        <v>64</v>
      </c>
      <c r="D18" s="2" t="s">
        <v>65</v>
      </c>
      <c r="E18" s="10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</sheetData>
  <sheetProtection sheet="1" objects="1" scenarios="1"/>
  <mergeCells count="5">
    <mergeCell ref="A1:D1"/>
    <mergeCell ref="B2:C2"/>
    <mergeCell ref="D2:D3"/>
    <mergeCell ref="B3:C3"/>
    <mergeCell ref="B13:D13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82D5-6092-4627-979C-568B29D230CD}">
  <sheetPr>
    <tabColor rgb="FFFFFF00"/>
  </sheetPr>
  <dimension ref="A1:S18"/>
  <sheetViews>
    <sheetView topLeftCell="B10" zoomScale="85" zoomScaleNormal="85" workbookViewId="0">
      <selection activeCell="B13" sqref="B13:D13"/>
    </sheetView>
  </sheetViews>
  <sheetFormatPr defaultColWidth="11" defaultRowHeight="18.600000000000001"/>
  <cols>
    <col min="1" max="1" width="32.625" style="8" customWidth="1"/>
    <col min="2" max="2" width="82" style="6" customWidth="1"/>
    <col min="3" max="3" width="6.625" style="9" customWidth="1"/>
    <col min="4" max="4" width="11" style="9"/>
    <col min="5" max="5" width="11" style="4"/>
    <col min="6" max="16384" width="11" style="5"/>
  </cols>
  <sheetData>
    <row r="1" spans="1:19" ht="30.95">
      <c r="A1" s="33" t="s">
        <v>0</v>
      </c>
      <c r="B1" s="33"/>
      <c r="C1" s="33"/>
      <c r="D1" s="33"/>
      <c r="E1" s="10" t="s">
        <v>1</v>
      </c>
      <c r="F1">
        <f>(D5+D6)</f>
        <v>3</v>
      </c>
      <c r="G1"/>
      <c r="H1"/>
      <c r="I1"/>
      <c r="J1"/>
      <c r="K1"/>
      <c r="L1"/>
      <c r="M1"/>
      <c r="N1"/>
      <c r="O1"/>
      <c r="P1"/>
      <c r="Q1"/>
      <c r="R1"/>
      <c r="S1"/>
    </row>
    <row r="2" spans="1:19" ht="30.95">
      <c r="A2" s="11" t="s">
        <v>2</v>
      </c>
      <c r="B2" s="34" t="s">
        <v>86</v>
      </c>
      <c r="C2" s="34"/>
      <c r="D2" s="35">
        <f>D5+D6+D7+D8+D9+D10+D11+D14+D15+D16+D17</f>
        <v>25.25</v>
      </c>
      <c r="E2" s="12" t="s">
        <v>4</v>
      </c>
      <c r="F2">
        <f>D7+D8</f>
        <v>4</v>
      </c>
      <c r="G2"/>
      <c r="H2"/>
      <c r="I2"/>
      <c r="J2"/>
      <c r="K2"/>
      <c r="L2"/>
      <c r="M2"/>
      <c r="N2"/>
      <c r="O2"/>
      <c r="P2"/>
      <c r="Q2"/>
      <c r="R2"/>
      <c r="S2"/>
    </row>
    <row r="3" spans="1:19" ht="26.1" customHeight="1">
      <c r="A3" s="13" t="s">
        <v>5</v>
      </c>
      <c r="B3" s="37" t="s">
        <v>6</v>
      </c>
      <c r="C3" s="37"/>
      <c r="D3" s="36"/>
      <c r="E3" s="12" t="s">
        <v>7</v>
      </c>
      <c r="F3">
        <f>D9</f>
        <v>2</v>
      </c>
      <c r="G3"/>
      <c r="H3"/>
      <c r="I3"/>
      <c r="J3"/>
      <c r="K3"/>
      <c r="L3"/>
      <c r="M3"/>
      <c r="N3"/>
      <c r="O3"/>
      <c r="P3"/>
      <c r="Q3"/>
      <c r="R3"/>
      <c r="S3"/>
    </row>
    <row r="4" spans="1:19" ht="21">
      <c r="A4" s="13" t="s">
        <v>8</v>
      </c>
      <c r="B4" s="14" t="s">
        <v>9</v>
      </c>
      <c r="C4" s="15" t="s">
        <v>10</v>
      </c>
      <c r="D4" s="16" t="s">
        <v>11</v>
      </c>
      <c r="E4" s="10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 spans="1:19" ht="74.099999999999994">
      <c r="A5" s="17" t="s">
        <v>12</v>
      </c>
      <c r="B5" s="18" t="s">
        <v>13</v>
      </c>
      <c r="C5" s="19" t="s">
        <v>14</v>
      </c>
      <c r="D5" s="1">
        <v>2</v>
      </c>
      <c r="E5" s="10"/>
      <c r="F5" s="20"/>
      <c r="G5" s="20"/>
      <c r="H5"/>
      <c r="I5"/>
      <c r="J5"/>
      <c r="K5"/>
      <c r="L5"/>
      <c r="M5"/>
      <c r="N5"/>
      <c r="O5"/>
      <c r="P5"/>
      <c r="Q5"/>
      <c r="R5"/>
      <c r="S5"/>
    </row>
    <row r="6" spans="1:19" ht="177" customHeight="1">
      <c r="A6" s="17" t="s">
        <v>15</v>
      </c>
      <c r="B6" s="18" t="s">
        <v>16</v>
      </c>
      <c r="C6" s="19" t="s">
        <v>17</v>
      </c>
      <c r="D6" s="1">
        <v>1</v>
      </c>
      <c r="E6" s="10"/>
      <c r="F6" s="20"/>
      <c r="G6" s="20"/>
      <c r="H6"/>
      <c r="I6"/>
      <c r="J6"/>
      <c r="K6"/>
      <c r="L6"/>
      <c r="M6"/>
      <c r="N6"/>
      <c r="O6"/>
      <c r="P6"/>
      <c r="Q6"/>
      <c r="R6"/>
      <c r="S6"/>
    </row>
    <row r="7" spans="1:19" ht="144.94999999999999" customHeight="1">
      <c r="A7" s="13" t="s">
        <v>18</v>
      </c>
      <c r="B7" s="21" t="s">
        <v>19</v>
      </c>
      <c r="C7" s="22" t="s">
        <v>20</v>
      </c>
      <c r="D7" s="1">
        <v>0</v>
      </c>
      <c r="E7" s="10"/>
      <c r="F7" s="20" t="s">
        <v>21</v>
      </c>
      <c r="G7" s="20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 t="s">
        <v>32</v>
      </c>
      <c r="R7" t="s">
        <v>33</v>
      </c>
      <c r="S7" t="s">
        <v>34</v>
      </c>
    </row>
    <row r="8" spans="1:19" ht="156.6">
      <c r="A8" s="13" t="s">
        <v>35</v>
      </c>
      <c r="B8" s="21" t="s">
        <v>36</v>
      </c>
      <c r="C8" s="22" t="s">
        <v>37</v>
      </c>
      <c r="D8" s="1">
        <v>4</v>
      </c>
      <c r="E8" s="10"/>
      <c r="F8" s="23">
        <f>+D2</f>
        <v>25.25</v>
      </c>
      <c r="G8" s="23">
        <f>D5</f>
        <v>2</v>
      </c>
      <c r="H8" s="24">
        <f>D6</f>
        <v>1</v>
      </c>
      <c r="I8" s="24">
        <f>D7</f>
        <v>0</v>
      </c>
      <c r="J8" s="24">
        <f>D8</f>
        <v>4</v>
      </c>
      <c r="K8" s="24">
        <f>D9</f>
        <v>2</v>
      </c>
      <c r="L8" s="24">
        <f>D10</f>
        <v>0</v>
      </c>
      <c r="M8" s="24">
        <f>D11</f>
        <v>4</v>
      </c>
      <c r="N8" s="24">
        <f>D14</f>
        <v>4</v>
      </c>
      <c r="O8" s="24">
        <f>D15</f>
        <v>2.25</v>
      </c>
      <c r="P8" s="24">
        <f>D16</f>
        <v>2</v>
      </c>
      <c r="Q8" s="24">
        <f>D17</f>
        <v>4</v>
      </c>
      <c r="R8" s="24" t="str">
        <f>+D18</f>
        <v>P</v>
      </c>
      <c r="S8" s="24" t="str">
        <f>D12</f>
        <v>A</v>
      </c>
    </row>
    <row r="9" spans="1:19" ht="147">
      <c r="A9" s="25" t="s">
        <v>38</v>
      </c>
      <c r="B9" s="26" t="s">
        <v>39</v>
      </c>
      <c r="C9" s="27" t="s">
        <v>40</v>
      </c>
      <c r="D9" s="1">
        <v>2</v>
      </c>
      <c r="E9" s="10"/>
      <c r="F9"/>
      <c r="G9"/>
      <c r="H9"/>
      <c r="I9"/>
      <c r="J9"/>
      <c r="K9"/>
      <c r="L9"/>
      <c r="M9"/>
      <c r="N9"/>
      <c r="O9"/>
      <c r="P9"/>
      <c r="Q9"/>
      <c r="R9"/>
      <c r="S9"/>
    </row>
    <row r="10" spans="1:19" s="7" customFormat="1" ht="189">
      <c r="A10" s="28" t="s">
        <v>41</v>
      </c>
      <c r="B10" s="29" t="s">
        <v>42</v>
      </c>
      <c r="C10" s="30" t="s">
        <v>43</v>
      </c>
      <c r="D10" s="3">
        <v>0</v>
      </c>
      <c r="E10" s="12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</row>
    <row r="11" spans="1:19" ht="92.45">
      <c r="A11" s="31" t="s">
        <v>44</v>
      </c>
      <c r="B11" s="18" t="s">
        <v>45</v>
      </c>
      <c r="C11" s="19" t="s">
        <v>46</v>
      </c>
      <c r="D11" s="1">
        <v>4</v>
      </c>
      <c r="E11" s="10"/>
      <c r="F11"/>
      <c r="G11"/>
      <c r="H11"/>
      <c r="I11"/>
      <c r="J11"/>
      <c r="K11"/>
      <c r="L11"/>
      <c r="M11"/>
      <c r="N11"/>
      <c r="O11"/>
      <c r="P11"/>
      <c r="Q11"/>
      <c r="R11"/>
      <c r="S11"/>
    </row>
    <row r="12" spans="1:19" ht="55.5">
      <c r="A12" s="31" t="s">
        <v>47</v>
      </c>
      <c r="B12" s="18" t="s">
        <v>48</v>
      </c>
      <c r="C12" s="19" t="s">
        <v>49</v>
      </c>
      <c r="D12" s="1" t="s">
        <v>81</v>
      </c>
      <c r="E12" s="10"/>
      <c r="F12"/>
      <c r="G12"/>
      <c r="H12"/>
      <c r="I12"/>
      <c r="J12"/>
      <c r="K12"/>
      <c r="L12"/>
      <c r="M12"/>
      <c r="N12"/>
      <c r="O12"/>
      <c r="P12"/>
      <c r="Q12"/>
      <c r="R12"/>
      <c r="S12"/>
    </row>
    <row r="13" spans="1:19" ht="54.75">
      <c r="A13" s="32" t="s">
        <v>51</v>
      </c>
      <c r="B13" s="38" t="s">
        <v>87</v>
      </c>
      <c r="C13" s="38"/>
      <c r="D13" s="38"/>
      <c r="E13" s="10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19" ht="36.950000000000003">
      <c r="A14" s="17" t="s">
        <v>52</v>
      </c>
      <c r="B14" s="18" t="s">
        <v>53</v>
      </c>
      <c r="C14" s="19" t="s">
        <v>54</v>
      </c>
      <c r="D14" s="2">
        <v>4</v>
      </c>
      <c r="E14" s="10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19" ht="111">
      <c r="A15" s="17" t="s">
        <v>55</v>
      </c>
      <c r="B15" s="18" t="s">
        <v>56</v>
      </c>
      <c r="C15" s="19" t="s">
        <v>57</v>
      </c>
      <c r="D15" s="2">
        <v>2.25</v>
      </c>
      <c r="E15" s="10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19" ht="36.950000000000003">
      <c r="A16" s="13" t="s">
        <v>58</v>
      </c>
      <c r="B16" s="21" t="s">
        <v>53</v>
      </c>
      <c r="C16" s="22" t="s">
        <v>20</v>
      </c>
      <c r="D16" s="2">
        <v>2</v>
      </c>
      <c r="E16" s="10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ht="92.45">
      <c r="A17" s="13" t="s">
        <v>59</v>
      </c>
      <c r="B17" s="21" t="s">
        <v>60</v>
      </c>
      <c r="C17" s="22" t="s">
        <v>61</v>
      </c>
      <c r="D17" s="2">
        <v>4</v>
      </c>
      <c r="E17" s="10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ht="36.950000000000003">
      <c r="A18" s="17" t="s">
        <v>62</v>
      </c>
      <c r="B18" s="18" t="s">
        <v>63</v>
      </c>
      <c r="C18" s="19" t="s">
        <v>64</v>
      </c>
      <c r="D18" s="2" t="s">
        <v>65</v>
      </c>
      <c r="E18" s="10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</sheetData>
  <sheetProtection sheet="1" objects="1" scenarios="1"/>
  <mergeCells count="5">
    <mergeCell ref="A1:D1"/>
    <mergeCell ref="B2:C2"/>
    <mergeCell ref="D2:D3"/>
    <mergeCell ref="B3:C3"/>
    <mergeCell ref="B13:D13"/>
  </mergeCell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6B41A-BC0E-41D7-AC51-5F1D9747C5E0}">
  <sheetPr>
    <tabColor rgb="FFFFFF00"/>
  </sheetPr>
  <dimension ref="A1:S18"/>
  <sheetViews>
    <sheetView topLeftCell="A12" zoomScale="85" zoomScaleNormal="85" workbookViewId="0">
      <selection activeCell="B13" sqref="B13:D13"/>
    </sheetView>
  </sheetViews>
  <sheetFormatPr defaultColWidth="11" defaultRowHeight="18.600000000000001"/>
  <cols>
    <col min="1" max="1" width="32.625" style="8" customWidth="1"/>
    <col min="2" max="2" width="82" style="6" customWidth="1"/>
    <col min="3" max="3" width="6.625" style="9" customWidth="1"/>
    <col min="4" max="4" width="11" style="9"/>
    <col min="5" max="5" width="11" style="4"/>
    <col min="6" max="16384" width="11" style="5"/>
  </cols>
  <sheetData>
    <row r="1" spans="1:19" ht="30.95">
      <c r="A1" s="33" t="s">
        <v>0</v>
      </c>
      <c r="B1" s="33"/>
      <c r="C1" s="33"/>
      <c r="D1" s="33"/>
      <c r="E1" s="10" t="s">
        <v>1</v>
      </c>
      <c r="F1">
        <f>(D5+D6)</f>
        <v>4</v>
      </c>
      <c r="G1"/>
      <c r="H1"/>
      <c r="I1"/>
      <c r="J1"/>
      <c r="K1"/>
      <c r="L1"/>
      <c r="M1"/>
      <c r="N1"/>
      <c r="O1"/>
      <c r="P1"/>
      <c r="Q1"/>
      <c r="R1"/>
      <c r="S1"/>
    </row>
    <row r="2" spans="1:19" ht="30.95">
      <c r="A2" s="11" t="s">
        <v>2</v>
      </c>
      <c r="B2" s="34" t="s">
        <v>88</v>
      </c>
      <c r="C2" s="34"/>
      <c r="D2" s="35">
        <f>D5+D6+D7+D8+D9+D10+D11+D14+D15+D16+D17</f>
        <v>26</v>
      </c>
      <c r="E2" s="12" t="s">
        <v>4</v>
      </c>
      <c r="F2">
        <f>D7+D8</f>
        <v>4</v>
      </c>
      <c r="G2"/>
      <c r="H2"/>
      <c r="I2"/>
      <c r="J2"/>
      <c r="K2"/>
      <c r="L2"/>
      <c r="M2"/>
      <c r="N2"/>
      <c r="O2"/>
      <c r="P2"/>
      <c r="Q2"/>
      <c r="R2"/>
      <c r="S2"/>
    </row>
    <row r="3" spans="1:19" ht="26.1" customHeight="1">
      <c r="A3" s="13" t="s">
        <v>5</v>
      </c>
      <c r="B3" s="37" t="s">
        <v>6</v>
      </c>
      <c r="C3" s="37"/>
      <c r="D3" s="36"/>
      <c r="E3" s="12" t="s">
        <v>7</v>
      </c>
      <c r="F3">
        <f>D9</f>
        <v>2</v>
      </c>
      <c r="G3"/>
      <c r="H3"/>
      <c r="I3"/>
      <c r="J3"/>
      <c r="K3"/>
      <c r="L3"/>
      <c r="M3"/>
      <c r="N3"/>
      <c r="O3"/>
      <c r="P3"/>
      <c r="Q3"/>
      <c r="R3"/>
      <c r="S3"/>
    </row>
    <row r="4" spans="1:19" ht="21">
      <c r="A4" s="13" t="s">
        <v>8</v>
      </c>
      <c r="B4" s="14" t="s">
        <v>9</v>
      </c>
      <c r="C4" s="15" t="s">
        <v>10</v>
      </c>
      <c r="D4" s="16" t="s">
        <v>11</v>
      </c>
      <c r="E4" s="10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 spans="1:19" ht="74.099999999999994">
      <c r="A5" s="17" t="s">
        <v>12</v>
      </c>
      <c r="B5" s="18" t="s">
        <v>13</v>
      </c>
      <c r="C5" s="19" t="s">
        <v>14</v>
      </c>
      <c r="D5" s="1">
        <v>2</v>
      </c>
      <c r="E5" s="10"/>
      <c r="F5" s="20"/>
      <c r="G5" s="20"/>
      <c r="H5"/>
      <c r="I5"/>
      <c r="J5"/>
      <c r="K5"/>
      <c r="L5"/>
      <c r="M5"/>
      <c r="N5"/>
      <c r="O5"/>
      <c r="P5"/>
      <c r="Q5"/>
      <c r="R5"/>
      <c r="S5"/>
    </row>
    <row r="6" spans="1:19" ht="177" customHeight="1">
      <c r="A6" s="17" t="s">
        <v>15</v>
      </c>
      <c r="B6" s="18" t="s">
        <v>16</v>
      </c>
      <c r="C6" s="19" t="s">
        <v>17</v>
      </c>
      <c r="D6" s="1">
        <v>2</v>
      </c>
      <c r="E6" s="10"/>
      <c r="F6" s="20"/>
      <c r="G6" s="20"/>
      <c r="H6"/>
      <c r="I6"/>
      <c r="J6"/>
      <c r="K6"/>
      <c r="L6"/>
      <c r="M6"/>
      <c r="N6"/>
      <c r="O6"/>
      <c r="P6"/>
      <c r="Q6"/>
      <c r="R6"/>
      <c r="S6"/>
    </row>
    <row r="7" spans="1:19" ht="144.94999999999999" customHeight="1">
      <c r="A7" s="13" t="s">
        <v>18</v>
      </c>
      <c r="B7" s="21" t="s">
        <v>19</v>
      </c>
      <c r="C7" s="22" t="s">
        <v>20</v>
      </c>
      <c r="D7" s="1">
        <v>0</v>
      </c>
      <c r="E7" s="10"/>
      <c r="F7" s="20" t="s">
        <v>21</v>
      </c>
      <c r="G7" s="20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 t="s">
        <v>32</v>
      </c>
      <c r="R7" t="s">
        <v>33</v>
      </c>
      <c r="S7" t="s">
        <v>34</v>
      </c>
    </row>
    <row r="8" spans="1:19" ht="156.6">
      <c r="A8" s="13" t="s">
        <v>35</v>
      </c>
      <c r="B8" s="21" t="s">
        <v>36</v>
      </c>
      <c r="C8" s="22" t="s">
        <v>37</v>
      </c>
      <c r="D8" s="1">
        <v>4</v>
      </c>
      <c r="E8" s="10"/>
      <c r="F8" s="23">
        <f>+D2</f>
        <v>26</v>
      </c>
      <c r="G8" s="23">
        <f>D5</f>
        <v>2</v>
      </c>
      <c r="H8" s="24">
        <f>D6</f>
        <v>2</v>
      </c>
      <c r="I8" s="24">
        <f>D7</f>
        <v>0</v>
      </c>
      <c r="J8" s="24">
        <f>D8</f>
        <v>4</v>
      </c>
      <c r="K8" s="24">
        <f>D9</f>
        <v>2</v>
      </c>
      <c r="L8" s="24">
        <f>D10</f>
        <v>2</v>
      </c>
      <c r="M8" s="24">
        <f>D11</f>
        <v>2</v>
      </c>
      <c r="N8" s="24">
        <f>D14</f>
        <v>4</v>
      </c>
      <c r="O8" s="24">
        <f>D15</f>
        <v>4</v>
      </c>
      <c r="P8" s="24">
        <f>D16</f>
        <v>0</v>
      </c>
      <c r="Q8" s="24">
        <f>D17</f>
        <v>4</v>
      </c>
      <c r="R8" s="24" t="str">
        <f>+D18</f>
        <v>P</v>
      </c>
      <c r="S8" s="24" t="str">
        <f>D12</f>
        <v>B</v>
      </c>
    </row>
    <row r="9" spans="1:19" ht="147">
      <c r="A9" s="25" t="s">
        <v>38</v>
      </c>
      <c r="B9" s="26" t="s">
        <v>39</v>
      </c>
      <c r="C9" s="27" t="s">
        <v>40</v>
      </c>
      <c r="D9" s="1">
        <v>2</v>
      </c>
      <c r="E9" s="10"/>
      <c r="F9"/>
      <c r="G9"/>
      <c r="H9"/>
      <c r="I9"/>
      <c r="J9"/>
      <c r="K9"/>
      <c r="L9"/>
      <c r="M9"/>
      <c r="N9"/>
      <c r="O9"/>
      <c r="P9"/>
      <c r="Q9"/>
      <c r="R9"/>
      <c r="S9"/>
    </row>
    <row r="10" spans="1:19" s="7" customFormat="1" ht="189">
      <c r="A10" s="28" t="s">
        <v>41</v>
      </c>
      <c r="B10" s="29" t="s">
        <v>42</v>
      </c>
      <c r="C10" s="30" t="s">
        <v>43</v>
      </c>
      <c r="D10" s="3">
        <v>2</v>
      </c>
      <c r="E10" s="12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</row>
    <row r="11" spans="1:19" ht="92.45">
      <c r="A11" s="31" t="s">
        <v>44</v>
      </c>
      <c r="B11" s="18" t="s">
        <v>45</v>
      </c>
      <c r="C11" s="19" t="s">
        <v>46</v>
      </c>
      <c r="D11" s="1">
        <v>2</v>
      </c>
      <c r="E11" s="10"/>
      <c r="F11"/>
      <c r="G11"/>
      <c r="H11"/>
      <c r="I11"/>
      <c r="J11"/>
      <c r="K11"/>
      <c r="L11"/>
      <c r="M11"/>
      <c r="N11"/>
      <c r="O11"/>
      <c r="P11"/>
      <c r="Q11"/>
      <c r="R11"/>
      <c r="S11"/>
    </row>
    <row r="12" spans="1:19" ht="55.5">
      <c r="A12" s="31" t="s">
        <v>47</v>
      </c>
      <c r="B12" s="18" t="s">
        <v>48</v>
      </c>
      <c r="C12" s="19" t="s">
        <v>49</v>
      </c>
      <c r="D12" s="1" t="s">
        <v>50</v>
      </c>
      <c r="E12" s="10"/>
      <c r="F12"/>
      <c r="G12"/>
      <c r="H12"/>
      <c r="I12"/>
      <c r="J12"/>
      <c r="K12"/>
      <c r="L12"/>
      <c r="M12"/>
      <c r="N12"/>
      <c r="O12"/>
      <c r="P12"/>
      <c r="Q12"/>
      <c r="R12"/>
      <c r="S12"/>
    </row>
    <row r="13" spans="1:19" ht="45">
      <c r="A13" s="32" t="s">
        <v>51</v>
      </c>
      <c r="B13" s="38"/>
      <c r="C13" s="38"/>
      <c r="D13" s="38"/>
      <c r="E13" s="10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19" ht="36.950000000000003">
      <c r="A14" s="17" t="s">
        <v>52</v>
      </c>
      <c r="B14" s="18" t="s">
        <v>53</v>
      </c>
      <c r="C14" s="19" t="s">
        <v>54</v>
      </c>
      <c r="D14" s="2">
        <v>4</v>
      </c>
      <c r="E14" s="10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19" ht="111">
      <c r="A15" s="17" t="s">
        <v>55</v>
      </c>
      <c r="B15" s="18" t="s">
        <v>56</v>
      </c>
      <c r="C15" s="19" t="s">
        <v>57</v>
      </c>
      <c r="D15" s="2">
        <v>4</v>
      </c>
      <c r="E15" s="10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19" ht="36.950000000000003">
      <c r="A16" s="13" t="s">
        <v>58</v>
      </c>
      <c r="B16" s="21" t="s">
        <v>53</v>
      </c>
      <c r="C16" s="22" t="s">
        <v>20</v>
      </c>
      <c r="D16" s="2">
        <v>0</v>
      </c>
      <c r="E16" s="10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ht="92.45">
      <c r="A17" s="13" t="s">
        <v>59</v>
      </c>
      <c r="B17" s="21" t="s">
        <v>60</v>
      </c>
      <c r="C17" s="22" t="s">
        <v>61</v>
      </c>
      <c r="D17" s="2">
        <v>4</v>
      </c>
      <c r="E17" s="10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ht="36.950000000000003">
      <c r="A18" s="17" t="s">
        <v>62</v>
      </c>
      <c r="B18" s="18" t="s">
        <v>63</v>
      </c>
      <c r="C18" s="19" t="s">
        <v>64</v>
      </c>
      <c r="D18" s="2" t="s">
        <v>65</v>
      </c>
      <c r="E18" s="10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</sheetData>
  <sheetProtection sheet="1" objects="1" scenarios="1"/>
  <mergeCells count="5">
    <mergeCell ref="A1:D1"/>
    <mergeCell ref="B2:C2"/>
    <mergeCell ref="D2:D3"/>
    <mergeCell ref="B3:C3"/>
    <mergeCell ref="B13:D13"/>
  </mergeCell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ABC1B-D508-4097-A3FC-7B2ADEE17738}">
  <sheetPr>
    <tabColor rgb="FFFFFF00"/>
  </sheetPr>
  <dimension ref="A1:S18"/>
  <sheetViews>
    <sheetView topLeftCell="A11" zoomScale="85" zoomScaleNormal="85" workbookViewId="0">
      <selection activeCell="B13" sqref="B13:D13"/>
    </sheetView>
  </sheetViews>
  <sheetFormatPr defaultColWidth="11" defaultRowHeight="18.600000000000001"/>
  <cols>
    <col min="1" max="1" width="32.625" style="8" customWidth="1"/>
    <col min="2" max="2" width="82" style="6" customWidth="1"/>
    <col min="3" max="3" width="6.625" style="9" customWidth="1"/>
    <col min="4" max="4" width="11" style="9"/>
    <col min="5" max="5" width="11" style="4"/>
    <col min="6" max="16384" width="11" style="5"/>
  </cols>
  <sheetData>
    <row r="1" spans="1:19" ht="30.95">
      <c r="A1" s="33" t="s">
        <v>0</v>
      </c>
      <c r="B1" s="33"/>
      <c r="C1" s="33"/>
      <c r="D1" s="33"/>
      <c r="E1" s="10" t="s">
        <v>1</v>
      </c>
      <c r="F1">
        <f>(D5+D6)</f>
        <v>3</v>
      </c>
      <c r="G1"/>
      <c r="H1"/>
      <c r="I1"/>
      <c r="J1"/>
      <c r="K1"/>
      <c r="L1"/>
      <c r="M1"/>
      <c r="N1"/>
      <c r="O1"/>
      <c r="P1"/>
      <c r="Q1"/>
      <c r="R1"/>
      <c r="S1"/>
    </row>
    <row r="2" spans="1:19" ht="30.95">
      <c r="A2" s="11" t="s">
        <v>2</v>
      </c>
      <c r="B2" s="34" t="s">
        <v>89</v>
      </c>
      <c r="C2" s="34"/>
      <c r="D2" s="35">
        <f>D5+D6+D7+D8+D9+D10+D11+D14+D15+D16+D17</f>
        <v>24</v>
      </c>
      <c r="E2" s="12" t="s">
        <v>4</v>
      </c>
      <c r="F2">
        <f>D7+D8</f>
        <v>4</v>
      </c>
      <c r="G2"/>
      <c r="H2"/>
      <c r="I2"/>
      <c r="J2"/>
      <c r="K2"/>
      <c r="L2"/>
      <c r="M2"/>
      <c r="N2"/>
      <c r="O2"/>
      <c r="P2"/>
      <c r="Q2"/>
      <c r="R2"/>
      <c r="S2"/>
    </row>
    <row r="3" spans="1:19" ht="26.1" customHeight="1">
      <c r="A3" s="13" t="s">
        <v>5</v>
      </c>
      <c r="B3" s="37" t="s">
        <v>6</v>
      </c>
      <c r="C3" s="37"/>
      <c r="D3" s="36"/>
      <c r="E3" s="12" t="s">
        <v>7</v>
      </c>
      <c r="F3">
        <f>D9</f>
        <v>2</v>
      </c>
      <c r="G3"/>
      <c r="H3"/>
      <c r="I3"/>
      <c r="J3"/>
      <c r="K3"/>
      <c r="L3"/>
      <c r="M3"/>
      <c r="N3"/>
      <c r="O3"/>
      <c r="P3"/>
      <c r="Q3"/>
      <c r="R3"/>
      <c r="S3"/>
    </row>
    <row r="4" spans="1:19" ht="21">
      <c r="A4" s="13" t="s">
        <v>8</v>
      </c>
      <c r="B4" s="14" t="s">
        <v>9</v>
      </c>
      <c r="C4" s="15" t="s">
        <v>10</v>
      </c>
      <c r="D4" s="16" t="s">
        <v>11</v>
      </c>
      <c r="E4" s="10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 spans="1:19" ht="74.099999999999994">
      <c r="A5" s="17" t="s">
        <v>12</v>
      </c>
      <c r="B5" s="18" t="s">
        <v>13</v>
      </c>
      <c r="C5" s="19" t="s">
        <v>14</v>
      </c>
      <c r="D5" s="1">
        <v>1</v>
      </c>
      <c r="E5" s="10"/>
      <c r="F5" s="20"/>
      <c r="G5" s="20"/>
      <c r="H5"/>
      <c r="I5"/>
      <c r="J5"/>
      <c r="K5"/>
      <c r="L5"/>
      <c r="M5"/>
      <c r="N5"/>
      <c r="O5"/>
      <c r="P5"/>
      <c r="Q5"/>
      <c r="R5"/>
      <c r="S5"/>
    </row>
    <row r="6" spans="1:19" ht="177" customHeight="1">
      <c r="A6" s="17" t="s">
        <v>15</v>
      </c>
      <c r="B6" s="18" t="s">
        <v>16</v>
      </c>
      <c r="C6" s="19" t="s">
        <v>17</v>
      </c>
      <c r="D6" s="1">
        <v>2</v>
      </c>
      <c r="E6" s="10"/>
      <c r="F6" s="20"/>
      <c r="G6" s="20"/>
      <c r="H6"/>
      <c r="I6"/>
      <c r="J6"/>
      <c r="K6"/>
      <c r="L6"/>
      <c r="M6"/>
      <c r="N6"/>
      <c r="O6"/>
      <c r="P6"/>
      <c r="Q6"/>
      <c r="R6"/>
      <c r="S6"/>
    </row>
    <row r="7" spans="1:19" ht="144.94999999999999" customHeight="1">
      <c r="A7" s="13" t="s">
        <v>18</v>
      </c>
      <c r="B7" s="21" t="s">
        <v>19</v>
      </c>
      <c r="C7" s="22" t="s">
        <v>20</v>
      </c>
      <c r="D7" s="1">
        <v>0</v>
      </c>
      <c r="E7" s="10"/>
      <c r="F7" s="20" t="s">
        <v>21</v>
      </c>
      <c r="G7" s="20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 t="s">
        <v>32</v>
      </c>
      <c r="R7" t="s">
        <v>33</v>
      </c>
      <c r="S7" t="s">
        <v>34</v>
      </c>
    </row>
    <row r="8" spans="1:19" ht="156.6">
      <c r="A8" s="13" t="s">
        <v>35</v>
      </c>
      <c r="B8" s="21" t="s">
        <v>36</v>
      </c>
      <c r="C8" s="22" t="s">
        <v>37</v>
      </c>
      <c r="D8" s="1">
        <v>4</v>
      </c>
      <c r="E8" s="10"/>
      <c r="F8" s="23">
        <f>+D2</f>
        <v>24</v>
      </c>
      <c r="G8" s="23">
        <f>D5</f>
        <v>1</v>
      </c>
      <c r="H8" s="24">
        <f>D6</f>
        <v>2</v>
      </c>
      <c r="I8" s="24">
        <f>D7</f>
        <v>0</v>
      </c>
      <c r="J8" s="24">
        <f>D8</f>
        <v>4</v>
      </c>
      <c r="K8" s="24">
        <f>D9</f>
        <v>2</v>
      </c>
      <c r="L8" s="24">
        <f>D10</f>
        <v>0</v>
      </c>
      <c r="M8" s="24">
        <f>D11</f>
        <v>3</v>
      </c>
      <c r="N8" s="24">
        <f>D14</f>
        <v>4</v>
      </c>
      <c r="O8" s="24">
        <f>D15</f>
        <v>3</v>
      </c>
      <c r="P8" s="24">
        <f>D16</f>
        <v>2</v>
      </c>
      <c r="Q8" s="24">
        <f>D17</f>
        <v>3</v>
      </c>
      <c r="R8" s="24" t="str">
        <f>+D18</f>
        <v>P</v>
      </c>
      <c r="S8" s="24" t="str">
        <f>D12</f>
        <v>B</v>
      </c>
    </row>
    <row r="9" spans="1:19" ht="147">
      <c r="A9" s="25" t="s">
        <v>38</v>
      </c>
      <c r="B9" s="26" t="s">
        <v>39</v>
      </c>
      <c r="C9" s="27" t="s">
        <v>40</v>
      </c>
      <c r="D9" s="1">
        <v>2</v>
      </c>
      <c r="E9" s="10"/>
      <c r="F9"/>
      <c r="G9"/>
      <c r="H9"/>
      <c r="I9"/>
      <c r="J9"/>
      <c r="K9"/>
      <c r="L9"/>
      <c r="M9"/>
      <c r="N9"/>
      <c r="O9"/>
      <c r="P9"/>
      <c r="Q9"/>
      <c r="R9"/>
      <c r="S9"/>
    </row>
    <row r="10" spans="1:19" s="7" customFormat="1" ht="189">
      <c r="A10" s="28" t="s">
        <v>41</v>
      </c>
      <c r="B10" s="29" t="s">
        <v>42</v>
      </c>
      <c r="C10" s="30" t="s">
        <v>43</v>
      </c>
      <c r="D10" s="3">
        <v>0</v>
      </c>
      <c r="E10" s="12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</row>
    <row r="11" spans="1:19" ht="92.45">
      <c r="A11" s="31" t="s">
        <v>44</v>
      </c>
      <c r="B11" s="18" t="s">
        <v>45</v>
      </c>
      <c r="C11" s="19" t="s">
        <v>46</v>
      </c>
      <c r="D11" s="1">
        <v>3</v>
      </c>
      <c r="E11" s="10"/>
      <c r="F11"/>
      <c r="G11"/>
      <c r="H11"/>
      <c r="I11"/>
      <c r="J11"/>
      <c r="K11"/>
      <c r="L11"/>
      <c r="M11"/>
      <c r="N11"/>
      <c r="O11"/>
      <c r="P11"/>
      <c r="Q11"/>
      <c r="R11"/>
      <c r="S11"/>
    </row>
    <row r="12" spans="1:19" ht="55.5">
      <c r="A12" s="31" t="s">
        <v>47</v>
      </c>
      <c r="B12" s="18" t="s">
        <v>48</v>
      </c>
      <c r="C12" s="19" t="s">
        <v>49</v>
      </c>
      <c r="D12" s="1" t="s">
        <v>50</v>
      </c>
      <c r="E12" s="10"/>
      <c r="F12"/>
      <c r="G12"/>
      <c r="H12"/>
      <c r="I12"/>
      <c r="J12"/>
      <c r="K12"/>
      <c r="L12"/>
      <c r="M12"/>
      <c r="N12"/>
      <c r="O12"/>
      <c r="P12"/>
      <c r="Q12"/>
      <c r="R12"/>
      <c r="S12"/>
    </row>
    <row r="13" spans="1:19" ht="54.75">
      <c r="A13" s="32" t="s">
        <v>51</v>
      </c>
      <c r="B13" s="38" t="s">
        <v>90</v>
      </c>
      <c r="C13" s="38"/>
      <c r="D13" s="38"/>
      <c r="E13" s="10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19" ht="36.950000000000003">
      <c r="A14" s="17" t="s">
        <v>52</v>
      </c>
      <c r="B14" s="18" t="s">
        <v>53</v>
      </c>
      <c r="C14" s="19" t="s">
        <v>54</v>
      </c>
      <c r="D14" s="2">
        <v>4</v>
      </c>
      <c r="E14" s="10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19" ht="111">
      <c r="A15" s="17" t="s">
        <v>55</v>
      </c>
      <c r="B15" s="18" t="s">
        <v>56</v>
      </c>
      <c r="C15" s="19" t="s">
        <v>57</v>
      </c>
      <c r="D15" s="2">
        <v>3</v>
      </c>
      <c r="E15" s="10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19" ht="36.950000000000003">
      <c r="A16" s="13" t="s">
        <v>58</v>
      </c>
      <c r="B16" s="21" t="s">
        <v>53</v>
      </c>
      <c r="C16" s="22" t="s">
        <v>20</v>
      </c>
      <c r="D16" s="2">
        <v>2</v>
      </c>
      <c r="E16" s="10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ht="92.45">
      <c r="A17" s="13" t="s">
        <v>59</v>
      </c>
      <c r="B17" s="21" t="s">
        <v>60</v>
      </c>
      <c r="C17" s="22" t="s">
        <v>61</v>
      </c>
      <c r="D17" s="2">
        <v>3</v>
      </c>
      <c r="E17" s="10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ht="36.950000000000003">
      <c r="A18" s="17" t="s">
        <v>62</v>
      </c>
      <c r="B18" s="18" t="s">
        <v>63</v>
      </c>
      <c r="C18" s="19" t="s">
        <v>64</v>
      </c>
      <c r="D18" s="2" t="s">
        <v>65</v>
      </c>
      <c r="E18" s="10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</sheetData>
  <sheetProtection sheet="1" objects="1" scenarios="1"/>
  <mergeCells count="5">
    <mergeCell ref="A1:D1"/>
    <mergeCell ref="B2:C2"/>
    <mergeCell ref="D2:D3"/>
    <mergeCell ref="B3:C3"/>
    <mergeCell ref="B13:D13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60518-D1D1-4D2A-B9B4-813E1C78E4FA}">
  <sheetPr>
    <tabColor rgb="FFFFFF00"/>
  </sheetPr>
  <dimension ref="A1:S18"/>
  <sheetViews>
    <sheetView topLeftCell="A11" zoomScale="85" zoomScaleNormal="85" workbookViewId="0">
      <selection activeCell="D12" sqref="D12"/>
    </sheetView>
  </sheetViews>
  <sheetFormatPr defaultColWidth="11" defaultRowHeight="18.600000000000001"/>
  <cols>
    <col min="1" max="1" width="32.625" style="8" customWidth="1"/>
    <col min="2" max="2" width="82" style="6" customWidth="1"/>
    <col min="3" max="3" width="6.625" style="9" customWidth="1"/>
    <col min="4" max="4" width="11" style="9"/>
    <col min="5" max="5" width="11" style="4"/>
    <col min="6" max="16384" width="11" style="5"/>
  </cols>
  <sheetData>
    <row r="1" spans="1:19" ht="30.95">
      <c r="A1" s="33" t="s">
        <v>0</v>
      </c>
      <c r="B1" s="33"/>
      <c r="C1" s="33"/>
      <c r="D1" s="33"/>
      <c r="E1" s="10" t="s">
        <v>1</v>
      </c>
      <c r="F1">
        <f>(D5+D6)</f>
        <v>5</v>
      </c>
      <c r="G1"/>
      <c r="H1"/>
      <c r="I1"/>
      <c r="J1"/>
      <c r="K1"/>
      <c r="L1"/>
      <c r="M1"/>
      <c r="N1"/>
      <c r="O1"/>
      <c r="P1"/>
      <c r="Q1"/>
      <c r="R1"/>
      <c r="S1"/>
    </row>
    <row r="2" spans="1:19" ht="30.95">
      <c r="A2" s="11" t="s">
        <v>2</v>
      </c>
      <c r="B2" s="34" t="s">
        <v>91</v>
      </c>
      <c r="C2" s="34"/>
      <c r="D2" s="35">
        <f>D5+D6+D7+D8+D9+D10+D11+D14+D15+D16+D17</f>
        <v>25</v>
      </c>
      <c r="E2" s="12" t="s">
        <v>4</v>
      </c>
      <c r="F2">
        <f>D7+D8</f>
        <v>2</v>
      </c>
      <c r="G2"/>
      <c r="H2"/>
      <c r="I2"/>
      <c r="J2"/>
      <c r="K2"/>
      <c r="L2"/>
      <c r="M2"/>
      <c r="N2"/>
      <c r="O2"/>
      <c r="P2"/>
      <c r="Q2"/>
      <c r="R2"/>
      <c r="S2"/>
    </row>
    <row r="3" spans="1:19" ht="26.1" customHeight="1">
      <c r="A3" s="13" t="s">
        <v>5</v>
      </c>
      <c r="B3" s="37" t="s">
        <v>6</v>
      </c>
      <c r="C3" s="37"/>
      <c r="D3" s="36"/>
      <c r="E3" s="12" t="s">
        <v>7</v>
      </c>
      <c r="F3">
        <f>D9</f>
        <v>2</v>
      </c>
      <c r="G3"/>
      <c r="H3"/>
      <c r="I3"/>
      <c r="J3"/>
      <c r="K3"/>
      <c r="L3"/>
      <c r="M3"/>
      <c r="N3"/>
      <c r="O3"/>
      <c r="P3"/>
      <c r="Q3"/>
      <c r="R3"/>
      <c r="S3"/>
    </row>
    <row r="4" spans="1:19" ht="21">
      <c r="A4" s="13" t="s">
        <v>8</v>
      </c>
      <c r="B4" s="14" t="s">
        <v>9</v>
      </c>
      <c r="C4" s="15" t="s">
        <v>10</v>
      </c>
      <c r="D4" s="16" t="s">
        <v>11</v>
      </c>
      <c r="E4" s="10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 spans="1:19" ht="74.099999999999994">
      <c r="A5" s="17" t="s">
        <v>12</v>
      </c>
      <c r="B5" s="18" t="s">
        <v>13</v>
      </c>
      <c r="C5" s="19" t="s">
        <v>14</v>
      </c>
      <c r="D5" s="1">
        <v>2</v>
      </c>
      <c r="E5" s="10"/>
      <c r="F5" s="20"/>
      <c r="G5" s="20"/>
      <c r="H5"/>
      <c r="I5"/>
      <c r="J5"/>
      <c r="K5"/>
      <c r="L5"/>
      <c r="M5"/>
      <c r="N5"/>
      <c r="O5"/>
      <c r="P5"/>
      <c r="Q5"/>
      <c r="R5"/>
      <c r="S5"/>
    </row>
    <row r="6" spans="1:19" ht="177" customHeight="1">
      <c r="A6" s="17" t="s">
        <v>15</v>
      </c>
      <c r="B6" s="18" t="s">
        <v>16</v>
      </c>
      <c r="C6" s="19" t="s">
        <v>17</v>
      </c>
      <c r="D6" s="1">
        <v>3</v>
      </c>
      <c r="E6" s="10"/>
      <c r="F6" s="20"/>
      <c r="G6" s="20"/>
      <c r="H6"/>
      <c r="I6"/>
      <c r="J6"/>
      <c r="K6"/>
      <c r="L6"/>
      <c r="M6"/>
      <c r="N6"/>
      <c r="O6"/>
      <c r="P6"/>
      <c r="Q6"/>
      <c r="R6"/>
      <c r="S6"/>
    </row>
    <row r="7" spans="1:19" ht="144.94999999999999" customHeight="1">
      <c r="A7" s="13" t="s">
        <v>18</v>
      </c>
      <c r="B7" s="21" t="s">
        <v>19</v>
      </c>
      <c r="C7" s="22" t="s">
        <v>20</v>
      </c>
      <c r="D7" s="1">
        <v>0</v>
      </c>
      <c r="E7" s="10"/>
      <c r="F7" s="20" t="s">
        <v>21</v>
      </c>
      <c r="G7" s="20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 t="s">
        <v>32</v>
      </c>
      <c r="R7" t="s">
        <v>33</v>
      </c>
      <c r="S7" t="s">
        <v>34</v>
      </c>
    </row>
    <row r="8" spans="1:19" ht="156.6">
      <c r="A8" s="13" t="s">
        <v>35</v>
      </c>
      <c r="B8" s="21" t="s">
        <v>36</v>
      </c>
      <c r="C8" s="22" t="s">
        <v>37</v>
      </c>
      <c r="D8" s="1">
        <v>2</v>
      </c>
      <c r="E8" s="10"/>
      <c r="F8" s="23">
        <f>+D2</f>
        <v>25</v>
      </c>
      <c r="G8" s="23">
        <f>D5</f>
        <v>2</v>
      </c>
      <c r="H8" s="24">
        <f>D6</f>
        <v>3</v>
      </c>
      <c r="I8" s="24">
        <f>D7</f>
        <v>0</v>
      </c>
      <c r="J8" s="24">
        <f>D8</f>
        <v>2</v>
      </c>
      <c r="K8" s="24">
        <f>D9</f>
        <v>2</v>
      </c>
      <c r="L8" s="24">
        <f>D10</f>
        <v>0</v>
      </c>
      <c r="M8" s="24">
        <f>D11</f>
        <v>4</v>
      </c>
      <c r="N8" s="24">
        <f>D14</f>
        <v>4</v>
      </c>
      <c r="O8" s="24">
        <f>D15</f>
        <v>3</v>
      </c>
      <c r="P8" s="24">
        <f>D16</f>
        <v>2</v>
      </c>
      <c r="Q8" s="24">
        <f>D17</f>
        <v>3</v>
      </c>
      <c r="R8" s="24" t="str">
        <f>+D18</f>
        <v>P</v>
      </c>
      <c r="S8" s="24" t="str">
        <f>D12</f>
        <v>B</v>
      </c>
    </row>
    <row r="9" spans="1:19" ht="147">
      <c r="A9" s="25" t="s">
        <v>38</v>
      </c>
      <c r="B9" s="26" t="s">
        <v>39</v>
      </c>
      <c r="C9" s="27" t="s">
        <v>40</v>
      </c>
      <c r="D9" s="1">
        <v>2</v>
      </c>
      <c r="E9" s="10"/>
      <c r="F9"/>
      <c r="G9"/>
      <c r="H9"/>
      <c r="I9"/>
      <c r="J9"/>
      <c r="K9"/>
      <c r="L9"/>
      <c r="M9"/>
      <c r="N9"/>
      <c r="O9"/>
      <c r="P9"/>
      <c r="Q9"/>
      <c r="R9"/>
      <c r="S9"/>
    </row>
    <row r="10" spans="1:19" s="7" customFormat="1" ht="189">
      <c r="A10" s="28" t="s">
        <v>41</v>
      </c>
      <c r="B10" s="29" t="s">
        <v>42</v>
      </c>
      <c r="C10" s="30" t="s">
        <v>43</v>
      </c>
      <c r="D10" s="3">
        <v>0</v>
      </c>
      <c r="E10" s="12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</row>
    <row r="11" spans="1:19" ht="92.45">
      <c r="A11" s="31" t="s">
        <v>44</v>
      </c>
      <c r="B11" s="18" t="s">
        <v>45</v>
      </c>
      <c r="C11" s="19" t="s">
        <v>46</v>
      </c>
      <c r="D11" s="1">
        <v>4</v>
      </c>
      <c r="E11" s="10"/>
      <c r="F11"/>
      <c r="G11"/>
      <c r="H11"/>
      <c r="I11"/>
      <c r="J11"/>
      <c r="K11"/>
      <c r="L11"/>
      <c r="M11"/>
      <c r="N11"/>
      <c r="O11"/>
      <c r="P11"/>
      <c r="Q11"/>
      <c r="R11"/>
      <c r="S11"/>
    </row>
    <row r="12" spans="1:19" ht="55.5">
      <c r="A12" s="31" t="s">
        <v>47</v>
      </c>
      <c r="B12" s="18" t="s">
        <v>48</v>
      </c>
      <c r="C12" s="19" t="s">
        <v>49</v>
      </c>
      <c r="D12" s="1" t="s">
        <v>50</v>
      </c>
      <c r="E12" s="10"/>
      <c r="F12"/>
      <c r="G12"/>
      <c r="H12"/>
      <c r="I12"/>
      <c r="J12"/>
      <c r="K12"/>
      <c r="L12"/>
      <c r="M12"/>
      <c r="N12"/>
      <c r="O12"/>
      <c r="P12"/>
      <c r="Q12"/>
      <c r="R12"/>
      <c r="S12"/>
    </row>
    <row r="13" spans="1:19" ht="45">
      <c r="A13" s="32" t="s">
        <v>51</v>
      </c>
      <c r="B13" s="38"/>
      <c r="C13" s="38"/>
      <c r="D13" s="38"/>
      <c r="E13" s="10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19" ht="36.950000000000003">
      <c r="A14" s="17" t="s">
        <v>52</v>
      </c>
      <c r="B14" s="18" t="s">
        <v>53</v>
      </c>
      <c r="C14" s="19" t="s">
        <v>54</v>
      </c>
      <c r="D14" s="2">
        <v>4</v>
      </c>
      <c r="E14" s="10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19" ht="111">
      <c r="A15" s="17" t="s">
        <v>55</v>
      </c>
      <c r="B15" s="18" t="s">
        <v>56</v>
      </c>
      <c r="C15" s="19" t="s">
        <v>57</v>
      </c>
      <c r="D15" s="2">
        <v>3</v>
      </c>
      <c r="E15" s="10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19" ht="36.950000000000003">
      <c r="A16" s="13" t="s">
        <v>58</v>
      </c>
      <c r="B16" s="21" t="s">
        <v>53</v>
      </c>
      <c r="C16" s="22" t="s">
        <v>20</v>
      </c>
      <c r="D16" s="2">
        <v>2</v>
      </c>
      <c r="E16" s="10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ht="92.45">
      <c r="A17" s="13" t="s">
        <v>59</v>
      </c>
      <c r="B17" s="21" t="s">
        <v>60</v>
      </c>
      <c r="C17" s="22" t="s">
        <v>61</v>
      </c>
      <c r="D17" s="2">
        <v>3</v>
      </c>
      <c r="E17" s="10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ht="36.950000000000003">
      <c r="A18" s="17" t="s">
        <v>62</v>
      </c>
      <c r="B18" s="18" t="s">
        <v>63</v>
      </c>
      <c r="C18" s="19" t="s">
        <v>64</v>
      </c>
      <c r="D18" s="2" t="s">
        <v>65</v>
      </c>
      <c r="E18" s="10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</sheetData>
  <sheetProtection sheet="1" objects="1" scenarios="1"/>
  <mergeCells count="5">
    <mergeCell ref="A1:D1"/>
    <mergeCell ref="B2:C2"/>
    <mergeCell ref="D2:D3"/>
    <mergeCell ref="B3:C3"/>
    <mergeCell ref="B13:D13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042B4-B7DC-44EB-8D41-1A05701965A5}">
  <sheetPr>
    <tabColor rgb="FFFFFF00"/>
  </sheetPr>
  <dimension ref="A1:S18"/>
  <sheetViews>
    <sheetView topLeftCell="A11" zoomScale="85" zoomScaleNormal="85" workbookViewId="0">
      <selection activeCell="D10" sqref="D10"/>
    </sheetView>
  </sheetViews>
  <sheetFormatPr defaultColWidth="11" defaultRowHeight="18.600000000000001"/>
  <cols>
    <col min="1" max="1" width="32.625" style="8" customWidth="1"/>
    <col min="2" max="2" width="82" style="6" customWidth="1"/>
    <col min="3" max="3" width="6.625" style="9" customWidth="1"/>
    <col min="4" max="4" width="11" style="9"/>
    <col min="5" max="5" width="11" style="4"/>
    <col min="6" max="16384" width="11" style="5"/>
  </cols>
  <sheetData>
    <row r="1" spans="1:19" ht="30.95">
      <c r="A1" s="33" t="s">
        <v>0</v>
      </c>
      <c r="B1" s="33"/>
      <c r="C1" s="33"/>
      <c r="D1" s="33"/>
      <c r="E1" s="10" t="s">
        <v>1</v>
      </c>
      <c r="F1">
        <f>(D5+D6)</f>
        <v>3</v>
      </c>
      <c r="G1"/>
      <c r="H1"/>
      <c r="I1"/>
      <c r="J1"/>
      <c r="K1"/>
      <c r="L1"/>
      <c r="M1"/>
      <c r="N1"/>
      <c r="O1"/>
      <c r="P1"/>
      <c r="Q1"/>
      <c r="R1"/>
      <c r="S1"/>
    </row>
    <row r="2" spans="1:19" ht="30.95">
      <c r="A2" s="11" t="s">
        <v>2</v>
      </c>
      <c r="B2" s="34" t="s">
        <v>92</v>
      </c>
      <c r="C2" s="34"/>
      <c r="D2" s="35">
        <f>D5+D6+D7+D8+D9+D10+D11+D14+D15+D16+D17</f>
        <v>25</v>
      </c>
      <c r="E2" s="12" t="s">
        <v>4</v>
      </c>
      <c r="F2">
        <f>D7+D8</f>
        <v>4</v>
      </c>
      <c r="G2"/>
      <c r="H2"/>
      <c r="I2"/>
      <c r="J2"/>
      <c r="K2"/>
      <c r="L2"/>
      <c r="M2"/>
      <c r="N2"/>
      <c r="O2"/>
      <c r="P2"/>
      <c r="Q2"/>
      <c r="R2"/>
      <c r="S2"/>
    </row>
    <row r="3" spans="1:19" ht="26.1" customHeight="1">
      <c r="A3" s="13" t="s">
        <v>5</v>
      </c>
      <c r="B3" s="37" t="s">
        <v>6</v>
      </c>
      <c r="C3" s="37"/>
      <c r="D3" s="36"/>
      <c r="E3" s="12" t="s">
        <v>7</v>
      </c>
      <c r="F3">
        <f>D9</f>
        <v>2</v>
      </c>
      <c r="G3"/>
      <c r="H3"/>
      <c r="I3"/>
      <c r="J3"/>
      <c r="K3"/>
      <c r="L3"/>
      <c r="M3"/>
      <c r="N3"/>
      <c r="O3"/>
      <c r="P3"/>
      <c r="Q3"/>
      <c r="R3"/>
      <c r="S3"/>
    </row>
    <row r="4" spans="1:19" ht="21">
      <c r="A4" s="13" t="s">
        <v>8</v>
      </c>
      <c r="B4" s="14" t="s">
        <v>9</v>
      </c>
      <c r="C4" s="15" t="s">
        <v>10</v>
      </c>
      <c r="D4" s="16" t="s">
        <v>11</v>
      </c>
      <c r="E4" s="10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 spans="1:19" ht="74.099999999999994">
      <c r="A5" s="17" t="s">
        <v>12</v>
      </c>
      <c r="B5" s="18" t="s">
        <v>13</v>
      </c>
      <c r="C5" s="19" t="s">
        <v>14</v>
      </c>
      <c r="D5" s="1">
        <v>1</v>
      </c>
      <c r="E5" s="10"/>
      <c r="F5" s="20"/>
      <c r="G5" s="20"/>
      <c r="H5"/>
      <c r="I5"/>
      <c r="J5"/>
      <c r="K5"/>
      <c r="L5"/>
      <c r="M5"/>
      <c r="N5"/>
      <c r="O5"/>
      <c r="P5"/>
      <c r="Q5"/>
      <c r="R5"/>
      <c r="S5"/>
    </row>
    <row r="6" spans="1:19" ht="177" customHeight="1">
      <c r="A6" s="17" t="s">
        <v>15</v>
      </c>
      <c r="B6" s="18" t="s">
        <v>16</v>
      </c>
      <c r="C6" s="19" t="s">
        <v>17</v>
      </c>
      <c r="D6" s="1">
        <v>2</v>
      </c>
      <c r="E6" s="10"/>
      <c r="F6" s="20"/>
      <c r="G6" s="20"/>
      <c r="H6"/>
      <c r="I6"/>
      <c r="J6"/>
      <c r="K6"/>
      <c r="L6"/>
      <c r="M6"/>
      <c r="N6"/>
      <c r="O6"/>
      <c r="P6"/>
      <c r="Q6"/>
      <c r="R6"/>
      <c r="S6"/>
    </row>
    <row r="7" spans="1:19" ht="144.94999999999999" customHeight="1">
      <c r="A7" s="13" t="s">
        <v>18</v>
      </c>
      <c r="B7" s="21" t="s">
        <v>19</v>
      </c>
      <c r="C7" s="22" t="s">
        <v>20</v>
      </c>
      <c r="D7" s="1">
        <v>0</v>
      </c>
      <c r="E7" s="10"/>
      <c r="F7" s="20" t="s">
        <v>21</v>
      </c>
      <c r="G7" s="20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 t="s">
        <v>32</v>
      </c>
      <c r="R7" t="s">
        <v>33</v>
      </c>
      <c r="S7" t="s">
        <v>34</v>
      </c>
    </row>
    <row r="8" spans="1:19" ht="156.6">
      <c r="A8" s="13" t="s">
        <v>35</v>
      </c>
      <c r="B8" s="21" t="s">
        <v>36</v>
      </c>
      <c r="C8" s="22" t="s">
        <v>37</v>
      </c>
      <c r="D8" s="1">
        <v>4</v>
      </c>
      <c r="E8" s="10"/>
      <c r="F8" s="23">
        <f>+D2</f>
        <v>25</v>
      </c>
      <c r="G8" s="23">
        <f>D5</f>
        <v>1</v>
      </c>
      <c r="H8" s="24">
        <f>D6</f>
        <v>2</v>
      </c>
      <c r="I8" s="24">
        <f>D7</f>
        <v>0</v>
      </c>
      <c r="J8" s="24">
        <f>D8</f>
        <v>4</v>
      </c>
      <c r="K8" s="24">
        <f>D9</f>
        <v>2</v>
      </c>
      <c r="L8" s="24">
        <f>D10</f>
        <v>0</v>
      </c>
      <c r="M8" s="24">
        <f>D11</f>
        <v>4</v>
      </c>
      <c r="N8" s="24">
        <f>D14</f>
        <v>4</v>
      </c>
      <c r="O8" s="24">
        <f>D15</f>
        <v>2</v>
      </c>
      <c r="P8" s="24">
        <f>D16</f>
        <v>2</v>
      </c>
      <c r="Q8" s="24">
        <f>D17</f>
        <v>4</v>
      </c>
      <c r="R8" s="24" t="str">
        <f>+D18</f>
        <v>P</v>
      </c>
      <c r="S8" s="24" t="str">
        <f>D12</f>
        <v>B</v>
      </c>
    </row>
    <row r="9" spans="1:19" ht="147">
      <c r="A9" s="25" t="s">
        <v>38</v>
      </c>
      <c r="B9" s="26" t="s">
        <v>39</v>
      </c>
      <c r="C9" s="27" t="s">
        <v>40</v>
      </c>
      <c r="D9" s="1">
        <v>2</v>
      </c>
      <c r="E9" s="10"/>
      <c r="F9"/>
      <c r="G9"/>
      <c r="H9"/>
      <c r="I9"/>
      <c r="J9"/>
      <c r="K9"/>
      <c r="L9"/>
      <c r="M9"/>
      <c r="N9"/>
      <c r="O9"/>
      <c r="P9"/>
      <c r="Q9"/>
      <c r="R9"/>
      <c r="S9"/>
    </row>
    <row r="10" spans="1:19" s="7" customFormat="1" ht="189">
      <c r="A10" s="28" t="s">
        <v>41</v>
      </c>
      <c r="B10" s="29" t="s">
        <v>42</v>
      </c>
      <c r="C10" s="30" t="s">
        <v>43</v>
      </c>
      <c r="D10" s="3">
        <v>0</v>
      </c>
      <c r="E10" s="12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</row>
    <row r="11" spans="1:19" ht="92.45">
      <c r="A11" s="31" t="s">
        <v>44</v>
      </c>
      <c r="B11" s="18" t="s">
        <v>45</v>
      </c>
      <c r="C11" s="19" t="s">
        <v>46</v>
      </c>
      <c r="D11" s="1">
        <v>4</v>
      </c>
      <c r="E11" s="10"/>
      <c r="F11"/>
      <c r="G11"/>
      <c r="H11"/>
      <c r="I11"/>
      <c r="J11"/>
      <c r="K11"/>
      <c r="L11"/>
      <c r="M11"/>
      <c r="N11"/>
      <c r="O11"/>
      <c r="P11"/>
      <c r="Q11"/>
      <c r="R11"/>
      <c r="S11"/>
    </row>
    <row r="12" spans="1:19" ht="55.5">
      <c r="A12" s="31" t="s">
        <v>47</v>
      </c>
      <c r="B12" s="18" t="s">
        <v>48</v>
      </c>
      <c r="C12" s="19" t="s">
        <v>49</v>
      </c>
      <c r="D12" s="1" t="s">
        <v>50</v>
      </c>
      <c r="E12" s="10"/>
      <c r="F12"/>
      <c r="G12"/>
      <c r="H12"/>
      <c r="I12"/>
      <c r="J12"/>
      <c r="K12"/>
      <c r="L12"/>
      <c r="M12"/>
      <c r="N12"/>
      <c r="O12"/>
      <c r="P12"/>
      <c r="Q12"/>
      <c r="R12"/>
      <c r="S12"/>
    </row>
    <row r="13" spans="1:19" ht="45">
      <c r="A13" s="32" t="s">
        <v>51</v>
      </c>
      <c r="B13" s="38"/>
      <c r="C13" s="38"/>
      <c r="D13" s="38"/>
      <c r="E13" s="10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19" ht="36.950000000000003">
      <c r="A14" s="17" t="s">
        <v>52</v>
      </c>
      <c r="B14" s="18" t="s">
        <v>53</v>
      </c>
      <c r="C14" s="19" t="s">
        <v>54</v>
      </c>
      <c r="D14" s="2">
        <v>4</v>
      </c>
      <c r="E14" s="10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19" ht="111">
      <c r="A15" s="17" t="s">
        <v>55</v>
      </c>
      <c r="B15" s="18" t="s">
        <v>56</v>
      </c>
      <c r="C15" s="19" t="s">
        <v>57</v>
      </c>
      <c r="D15" s="2">
        <v>2</v>
      </c>
      <c r="E15" s="10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19" ht="36.950000000000003">
      <c r="A16" s="13" t="s">
        <v>58</v>
      </c>
      <c r="B16" s="21" t="s">
        <v>53</v>
      </c>
      <c r="C16" s="22" t="s">
        <v>20</v>
      </c>
      <c r="D16" s="2">
        <v>2</v>
      </c>
      <c r="E16" s="10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ht="92.45">
      <c r="A17" s="13" t="s">
        <v>59</v>
      </c>
      <c r="B17" s="21" t="s">
        <v>60</v>
      </c>
      <c r="C17" s="22" t="s">
        <v>61</v>
      </c>
      <c r="D17" s="2">
        <v>4</v>
      </c>
      <c r="E17" s="10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ht="36.950000000000003">
      <c r="A18" s="17" t="s">
        <v>62</v>
      </c>
      <c r="B18" s="18" t="s">
        <v>63</v>
      </c>
      <c r="C18" s="19" t="s">
        <v>64</v>
      </c>
      <c r="D18" s="2" t="s">
        <v>65</v>
      </c>
      <c r="E18" s="10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</sheetData>
  <sheetProtection sheet="1" objects="1" scenarios="1"/>
  <mergeCells count="5">
    <mergeCell ref="A1:D1"/>
    <mergeCell ref="B2:C2"/>
    <mergeCell ref="D2:D3"/>
    <mergeCell ref="B3:C3"/>
    <mergeCell ref="B13:D13"/>
  </mergeCells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S18"/>
  <sheetViews>
    <sheetView tabSelected="1" zoomScale="85" zoomScaleNormal="85" workbookViewId="0">
      <selection activeCell="D12" sqref="D12"/>
    </sheetView>
  </sheetViews>
  <sheetFormatPr defaultColWidth="11" defaultRowHeight="18.600000000000001"/>
  <cols>
    <col min="1" max="1" width="32.625" style="8" customWidth="1"/>
    <col min="2" max="2" width="82" style="6" customWidth="1"/>
    <col min="3" max="3" width="6.625" style="9" customWidth="1"/>
    <col min="4" max="4" width="10.875" style="9"/>
    <col min="5" max="5" width="10.875" style="4"/>
    <col min="6" max="16384" width="11" style="5"/>
  </cols>
  <sheetData>
    <row r="1" spans="1:19" ht="30.95">
      <c r="A1" s="33" t="s">
        <v>0</v>
      </c>
      <c r="B1" s="33"/>
      <c r="C1" s="33"/>
      <c r="D1" s="33"/>
      <c r="E1" s="10" t="s">
        <v>1</v>
      </c>
      <c r="F1">
        <f>(D5+D6)</f>
        <v>3</v>
      </c>
      <c r="G1"/>
      <c r="H1"/>
      <c r="I1"/>
      <c r="J1"/>
      <c r="K1"/>
      <c r="L1"/>
      <c r="M1"/>
      <c r="N1"/>
      <c r="O1"/>
      <c r="P1"/>
      <c r="Q1"/>
      <c r="R1"/>
      <c r="S1"/>
    </row>
    <row r="2" spans="1:19" ht="30.95">
      <c r="A2" s="11" t="s">
        <v>2</v>
      </c>
      <c r="B2" s="34" t="s">
        <v>93</v>
      </c>
      <c r="C2" s="34"/>
      <c r="D2" s="35">
        <f>D5+D6+D7+D8+D9+D10+D11+D14+D15+D16+D17</f>
        <v>21.25</v>
      </c>
      <c r="E2" s="12" t="s">
        <v>4</v>
      </c>
      <c r="F2">
        <f>D7+D8</f>
        <v>2</v>
      </c>
      <c r="G2"/>
      <c r="H2"/>
      <c r="I2"/>
      <c r="J2"/>
      <c r="K2"/>
      <c r="L2"/>
      <c r="M2"/>
      <c r="N2"/>
      <c r="O2"/>
      <c r="P2"/>
      <c r="Q2"/>
      <c r="R2"/>
      <c r="S2"/>
    </row>
    <row r="3" spans="1:19" ht="26.1" customHeight="1">
      <c r="A3" s="13" t="s">
        <v>5</v>
      </c>
      <c r="B3" s="37" t="s">
        <v>6</v>
      </c>
      <c r="C3" s="37"/>
      <c r="D3" s="36"/>
      <c r="E3" s="12" t="s">
        <v>7</v>
      </c>
      <c r="F3">
        <f>D9</f>
        <v>2</v>
      </c>
      <c r="G3"/>
      <c r="H3"/>
      <c r="I3"/>
      <c r="J3"/>
      <c r="K3"/>
      <c r="L3"/>
      <c r="M3"/>
      <c r="N3"/>
      <c r="O3"/>
      <c r="P3"/>
      <c r="Q3"/>
      <c r="R3"/>
      <c r="S3"/>
    </row>
    <row r="4" spans="1:19" ht="21">
      <c r="A4" s="13" t="s">
        <v>8</v>
      </c>
      <c r="B4" s="14" t="s">
        <v>9</v>
      </c>
      <c r="C4" s="15" t="s">
        <v>10</v>
      </c>
      <c r="D4" s="16" t="s">
        <v>11</v>
      </c>
      <c r="E4" s="10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 spans="1:19" ht="74.099999999999994">
      <c r="A5" s="17" t="s">
        <v>12</v>
      </c>
      <c r="B5" s="18" t="s">
        <v>13</v>
      </c>
      <c r="C5" s="19" t="s">
        <v>14</v>
      </c>
      <c r="D5" s="1">
        <v>1</v>
      </c>
      <c r="E5" s="10"/>
      <c r="F5" s="20"/>
      <c r="G5" s="20"/>
      <c r="H5"/>
      <c r="I5"/>
      <c r="J5"/>
      <c r="K5"/>
      <c r="L5"/>
      <c r="M5"/>
      <c r="N5"/>
      <c r="O5"/>
      <c r="P5"/>
      <c r="Q5"/>
      <c r="R5"/>
      <c r="S5"/>
    </row>
    <row r="6" spans="1:19" ht="177" customHeight="1">
      <c r="A6" s="17" t="s">
        <v>15</v>
      </c>
      <c r="B6" s="18" t="s">
        <v>16</v>
      </c>
      <c r="C6" s="19" t="s">
        <v>17</v>
      </c>
      <c r="D6" s="1">
        <v>2</v>
      </c>
      <c r="E6" s="10"/>
      <c r="F6" s="20"/>
      <c r="G6" s="20"/>
      <c r="H6"/>
      <c r="I6"/>
      <c r="J6"/>
      <c r="K6"/>
      <c r="L6"/>
      <c r="M6"/>
      <c r="N6"/>
      <c r="O6"/>
      <c r="P6"/>
      <c r="Q6"/>
      <c r="R6"/>
      <c r="S6"/>
    </row>
    <row r="7" spans="1:19" ht="144.94999999999999" customHeight="1">
      <c r="A7" s="13" t="s">
        <v>18</v>
      </c>
      <c r="B7" s="21" t="s">
        <v>19</v>
      </c>
      <c r="C7" s="22" t="s">
        <v>20</v>
      </c>
      <c r="D7" s="1">
        <v>0</v>
      </c>
      <c r="E7" s="10"/>
      <c r="F7" s="20" t="s">
        <v>21</v>
      </c>
      <c r="G7" s="20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 t="s">
        <v>32</v>
      </c>
      <c r="R7" t="s">
        <v>33</v>
      </c>
      <c r="S7" t="s">
        <v>34</v>
      </c>
    </row>
    <row r="8" spans="1:19" ht="156.6">
      <c r="A8" s="13" t="s">
        <v>35</v>
      </c>
      <c r="B8" s="21" t="s">
        <v>36</v>
      </c>
      <c r="C8" s="22" t="s">
        <v>37</v>
      </c>
      <c r="D8" s="1">
        <v>2</v>
      </c>
      <c r="E8" s="10"/>
      <c r="F8" s="23">
        <f>+D2</f>
        <v>21.25</v>
      </c>
      <c r="G8" s="23">
        <f>D5</f>
        <v>1</v>
      </c>
      <c r="H8" s="24">
        <f>D6</f>
        <v>2</v>
      </c>
      <c r="I8" s="24">
        <f>D7</f>
        <v>0</v>
      </c>
      <c r="J8" s="24">
        <f>D8</f>
        <v>2</v>
      </c>
      <c r="K8" s="24">
        <f>D9</f>
        <v>2</v>
      </c>
      <c r="L8" s="24">
        <f>D10</f>
        <v>0</v>
      </c>
      <c r="M8" s="24">
        <f>D11</f>
        <v>2</v>
      </c>
      <c r="N8" s="24">
        <f>D14</f>
        <v>4</v>
      </c>
      <c r="O8" s="24">
        <f>D15</f>
        <v>2.25</v>
      </c>
      <c r="P8" s="24">
        <f>D16</f>
        <v>2</v>
      </c>
      <c r="Q8" s="24">
        <f>D17</f>
        <v>4</v>
      </c>
      <c r="R8" s="24" t="str">
        <f>+D18</f>
        <v>P</v>
      </c>
      <c r="S8" s="24" t="str">
        <f>D12</f>
        <v>B</v>
      </c>
    </row>
    <row r="9" spans="1:19" ht="147">
      <c r="A9" s="25" t="s">
        <v>38</v>
      </c>
      <c r="B9" s="26" t="s">
        <v>39</v>
      </c>
      <c r="C9" s="27" t="s">
        <v>40</v>
      </c>
      <c r="D9" s="1">
        <v>2</v>
      </c>
      <c r="E9" s="10"/>
      <c r="F9"/>
      <c r="G9"/>
      <c r="H9"/>
      <c r="I9"/>
      <c r="J9"/>
      <c r="K9"/>
      <c r="L9"/>
      <c r="M9"/>
      <c r="N9"/>
      <c r="O9"/>
      <c r="P9"/>
      <c r="Q9"/>
      <c r="R9"/>
      <c r="S9"/>
    </row>
    <row r="10" spans="1:19" s="7" customFormat="1" ht="189">
      <c r="A10" s="28" t="s">
        <v>41</v>
      </c>
      <c r="B10" s="29" t="s">
        <v>42</v>
      </c>
      <c r="C10" s="30" t="s">
        <v>43</v>
      </c>
      <c r="D10" s="3">
        <v>0</v>
      </c>
      <c r="E10" s="12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</row>
    <row r="11" spans="1:19" ht="92.45">
      <c r="A11" s="31" t="s">
        <v>44</v>
      </c>
      <c r="B11" s="18" t="s">
        <v>45</v>
      </c>
      <c r="C11" s="19" t="s">
        <v>46</v>
      </c>
      <c r="D11" s="1">
        <v>2</v>
      </c>
      <c r="E11" s="10"/>
      <c r="F11"/>
      <c r="G11"/>
      <c r="H11"/>
      <c r="I11"/>
      <c r="J11"/>
      <c r="K11"/>
      <c r="L11"/>
      <c r="M11"/>
      <c r="N11"/>
      <c r="O11"/>
      <c r="P11"/>
      <c r="Q11"/>
      <c r="R11"/>
      <c r="S11"/>
    </row>
    <row r="12" spans="1:19" ht="55.5">
      <c r="A12" s="31" t="s">
        <v>47</v>
      </c>
      <c r="B12" s="18" t="s">
        <v>48</v>
      </c>
      <c r="C12" s="19" t="s">
        <v>49</v>
      </c>
      <c r="D12" s="1" t="s">
        <v>50</v>
      </c>
      <c r="E12" s="10"/>
      <c r="F12"/>
      <c r="G12"/>
      <c r="H12"/>
      <c r="I12"/>
      <c r="J12"/>
      <c r="K12"/>
      <c r="L12"/>
      <c r="M12"/>
      <c r="N12"/>
      <c r="O12"/>
      <c r="P12"/>
      <c r="Q12"/>
      <c r="R12"/>
      <c r="S12"/>
    </row>
    <row r="13" spans="1:19" ht="45">
      <c r="A13" s="32" t="s">
        <v>51</v>
      </c>
      <c r="B13" s="38"/>
      <c r="C13" s="38"/>
      <c r="D13" s="38"/>
      <c r="E13" s="10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19" ht="36.950000000000003">
      <c r="A14" s="17" t="s">
        <v>52</v>
      </c>
      <c r="B14" s="18" t="s">
        <v>53</v>
      </c>
      <c r="C14" s="19" t="s">
        <v>54</v>
      </c>
      <c r="D14" s="2">
        <v>4</v>
      </c>
      <c r="E14" s="10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19" ht="111">
      <c r="A15" s="17" t="s">
        <v>55</v>
      </c>
      <c r="B15" s="18" t="s">
        <v>56</v>
      </c>
      <c r="C15" s="19" t="s">
        <v>57</v>
      </c>
      <c r="D15" s="2">
        <v>2.25</v>
      </c>
      <c r="E15" s="10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19" ht="36.950000000000003">
      <c r="A16" s="13" t="s">
        <v>58</v>
      </c>
      <c r="B16" s="21" t="s">
        <v>53</v>
      </c>
      <c r="C16" s="22" t="s">
        <v>20</v>
      </c>
      <c r="D16" s="2">
        <v>2</v>
      </c>
      <c r="E16" s="10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ht="92.45">
      <c r="A17" s="13" t="s">
        <v>59</v>
      </c>
      <c r="B17" s="21" t="s">
        <v>60</v>
      </c>
      <c r="C17" s="22" t="s">
        <v>61</v>
      </c>
      <c r="D17" s="2">
        <v>4</v>
      </c>
      <c r="E17" s="10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ht="36.950000000000003">
      <c r="A18" s="17" t="s">
        <v>62</v>
      </c>
      <c r="B18" s="18" t="s">
        <v>63</v>
      </c>
      <c r="C18" s="19" t="s">
        <v>64</v>
      </c>
      <c r="D18" s="2" t="s">
        <v>65</v>
      </c>
      <c r="E18" s="10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</sheetData>
  <sheetProtection sheet="1" objects="1" scenarios="1"/>
  <mergeCells count="5">
    <mergeCell ref="B13:D13"/>
    <mergeCell ref="A1:D1"/>
    <mergeCell ref="B3:C3"/>
    <mergeCell ref="B2:C2"/>
    <mergeCell ref="D2:D3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E1EFF07261F64989AA76891F51A3DB" ma:contentTypeVersion="19" ma:contentTypeDescription="Create a new document." ma:contentTypeScope="" ma:versionID="fa8aec9b2efe4b4d5fa6e54b84aa63f3">
  <xsd:schema xmlns:xsd="http://www.w3.org/2001/XMLSchema" xmlns:xs="http://www.w3.org/2001/XMLSchema" xmlns:p="http://schemas.microsoft.com/office/2006/metadata/properties" xmlns:ns2="d7f95a7b-1d70-489a-96d0-ad742b0abe94" xmlns:ns3="ccb306dc-ebd9-49d8-ab94-33d4d00d3187" xmlns:ns4="efce84db-8738-4c7b-9bdc-65b9500871f6" targetNamespace="http://schemas.microsoft.com/office/2006/metadata/properties" ma:root="true" ma:fieldsID="d06c77ba493e97b7e4f0fda30353b6d1" ns2:_="" ns3:_="" ns4:_="">
    <xsd:import namespace="d7f95a7b-1d70-489a-96d0-ad742b0abe94"/>
    <xsd:import namespace="ccb306dc-ebd9-49d8-ab94-33d4d00d3187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95a7b-1d70-489a-96d0-ad742b0abe9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b306dc-ebd9-49d8-ab94-33d4d00d31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e4289f24-1bf5-431f-bca5-8b8dadb2cbe1}" ma:internalName="TaxCatchAll" ma:showField="CatchAllData" ma:web="d7f95a7b-1d70-489a-96d0-ad742b0abe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b306dc-ebd9-49d8-ab94-33d4d00d3187">
      <Terms xmlns="http://schemas.microsoft.com/office/infopath/2007/PartnerControls"/>
    </lcf76f155ced4ddcb4097134ff3c332f>
    <TaxCatchAll xmlns="efce84db-8738-4c7b-9bdc-65b9500871f6" xsi:nil="true"/>
  </documentManagement>
</p:properties>
</file>

<file path=customXml/itemProps1.xml><?xml version="1.0" encoding="utf-8"?>
<ds:datastoreItem xmlns:ds="http://schemas.openxmlformats.org/officeDocument/2006/customXml" ds:itemID="{872183E9-3B1B-49F8-80DC-E5A3774020C0}"/>
</file>

<file path=customXml/itemProps2.xml><?xml version="1.0" encoding="utf-8"?>
<ds:datastoreItem xmlns:ds="http://schemas.openxmlformats.org/officeDocument/2006/customXml" ds:itemID="{A47F6599-F869-47EB-ABE7-BD8804A5407F}"/>
</file>

<file path=customXml/itemProps3.xml><?xml version="1.0" encoding="utf-8"?>
<ds:datastoreItem xmlns:ds="http://schemas.openxmlformats.org/officeDocument/2006/customXml" ds:itemID="{C546A57B-0ECE-4649-B7AA-E2BAB89941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Alicia Piatkowski</cp:lastModifiedBy>
  <cp:revision/>
  <dcterms:created xsi:type="dcterms:W3CDTF">2020-04-17T16:14:57Z</dcterms:created>
  <dcterms:modified xsi:type="dcterms:W3CDTF">2025-10-02T19:00:40Z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0x01010020E1EFF07261F64989AA76891F51A3DB</vt:lpwstr>
  </property>
  <property fmtid="{D5CDD505-2E9C-101B-9397-08002B2CF9AE}" pid="3" name="MediaServiceImageTags">
    <vt:lpwstr/>
  </property>
</Properties>
</file>